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skills_info\"/>
    </mc:Choice>
  </mc:AlternateContent>
  <bookViews>
    <workbookView xWindow="0" yWindow="0" windowWidth="32914" windowHeight="11083"/>
  </bookViews>
  <sheets>
    <sheet name="加上下半部分 再重新一起輸出" sheetId="1" r:id="rId1"/>
  </sheets>
  <calcPr calcId="162913"/>
</workbook>
</file>

<file path=xl/calcChain.xml><?xml version="1.0" encoding="utf-8"?>
<calcChain xmlns="http://schemas.openxmlformats.org/spreadsheetml/2006/main">
  <c r="L39" i="1" l="1"/>
  <c r="N39" i="1" s="1"/>
  <c r="L38" i="1"/>
  <c r="N38" i="1" s="1"/>
  <c r="L34" i="1"/>
  <c r="N34" i="1" s="1"/>
  <c r="L29" i="1"/>
  <c r="N29" i="1" s="1"/>
  <c r="L18" i="1"/>
  <c r="N18" i="1" s="1"/>
  <c r="L17" i="1"/>
  <c r="L16" i="1"/>
  <c r="N16" i="1" s="1"/>
  <c r="L12" i="1"/>
  <c r="N12" i="1" s="1"/>
  <c r="L3" i="1"/>
  <c r="N3" i="1" s="1"/>
  <c r="L4" i="1"/>
  <c r="N4" i="1" s="1"/>
  <c r="L5" i="1"/>
  <c r="N5" i="1"/>
  <c r="L6" i="1"/>
  <c r="N6" i="1" s="1"/>
  <c r="L7" i="1"/>
  <c r="N7" i="1" s="1"/>
  <c r="L8" i="1"/>
  <c r="N8" i="1"/>
  <c r="L9" i="1"/>
  <c r="N9" i="1" s="1"/>
  <c r="L10" i="1"/>
  <c r="N10" i="1" s="1"/>
  <c r="L11" i="1"/>
  <c r="N11" i="1" s="1"/>
  <c r="L13" i="1"/>
  <c r="N13" i="1"/>
  <c r="L14" i="1"/>
  <c r="N14" i="1"/>
  <c r="L15" i="1"/>
  <c r="N15" i="1" s="1"/>
  <c r="N17" i="1"/>
  <c r="L19" i="1"/>
  <c r="N19" i="1"/>
  <c r="L20" i="1"/>
  <c r="N20" i="1"/>
  <c r="L21" i="1"/>
  <c r="N21" i="1" s="1"/>
  <c r="L22" i="1"/>
  <c r="N22" i="1" s="1"/>
  <c r="L23" i="1"/>
  <c r="N23" i="1"/>
  <c r="L24" i="1"/>
  <c r="N24" i="1" s="1"/>
  <c r="L25" i="1"/>
  <c r="N25" i="1"/>
  <c r="L26" i="1"/>
  <c r="N26" i="1"/>
  <c r="L27" i="1"/>
  <c r="N27" i="1" s="1"/>
  <c r="L28" i="1"/>
  <c r="N28" i="1" s="1"/>
  <c r="L30" i="1"/>
  <c r="N30" i="1" s="1"/>
  <c r="L31" i="1"/>
  <c r="N31" i="1"/>
  <c r="L32" i="1"/>
  <c r="N32" i="1" s="1"/>
  <c r="L33" i="1"/>
  <c r="N33" i="1" s="1"/>
  <c r="L35" i="1"/>
  <c r="N35" i="1"/>
  <c r="L36" i="1"/>
  <c r="N36" i="1" s="1"/>
  <c r="L37" i="1"/>
  <c r="N37" i="1"/>
  <c r="L2" i="1"/>
  <c r="N2" i="1" s="1"/>
</calcChain>
</file>

<file path=xl/sharedStrings.xml><?xml version="1.0" encoding="utf-8"?>
<sst xmlns="http://schemas.openxmlformats.org/spreadsheetml/2006/main" count="314" uniqueCount="210">
  <si>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</si>
  <si>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</si>
  <si>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</si>
  <si>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</si>
  <si>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</si>
  <si>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</si>
  <si>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</si>
  <si>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</si>
  <si>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</si>
  <si>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</si>
  <si>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jh_algebra_2var_def</t>
  </si>
  <si>
    <t>2-Variable Algebra Expression</t>
  </si>
  <si>
    <t>二元一次式 (認識)</t>
  </si>
  <si>
    <t>代數</t>
  </si>
  <si>
    <t>熟練辨識二元一次式（例如 3x - 2y + 5）並合併同類項。</t>
  </si>
  <si>
    <t>text</t>
  </si>
  <si>
    <t>分析學生答案：{user_answer}，正確答案：{correct_answer}。如果錯誤，提醒學生「x」只能跟「x」合併，「y」只能跟「y」合併，「常數」只能跟「常數」合併。</t>
  </si>
  <si>
    <t>jh_algebra_2var_substitute_check</t>
  </si>
  <si>
    <t>Evaluate 2-Variable Expression</t>
  </si>
  <si>
    <t>二元一次式 (代入求值)</t>
  </si>
  <si>
    <t>熟練將 x=a, y=b 代入二元一次式並計算其值。</t>
  </si>
  <si>
    <t>分析學生答案：{user_answer}，正確答案：{correct_answer}。如果錯誤，提醒學生 x=2, y=-1 時，3x - 2y = 3(2) - 2(-1) = 6 + 2 = 8。注意負負得正。</t>
  </si>
  <si>
    <t>jh_equation_2var_check</t>
  </si>
  <si>
    <t>Check 2-Variable Equation Solution</t>
  </si>
  <si>
    <t>二元一次方程式 (檢驗解)</t>
  </si>
  <si>
    <t>方程式</t>
  </si>
  <si>
    <t>熟練判斷一組 (x, y) 是否為二元一次方程式 ax + by = c 的解。</t>
  </si>
  <si>
    <t>分析學生答案：{user_answer}，正確答案：{correct_answer}。如果錯誤，引導學生將 (x, y) 代入方程式左側，檢查其值是否等於右側的 c。</t>
  </si>
  <si>
    <t>jh_equation_2var_find_solutions</t>
  </si>
  <si>
    <t>Find Solutions for 2-Variable Equation</t>
  </si>
  <si>
    <t>二元一次方程式 (列舉解)</t>
  </si>
  <si>
    <t>熟練在整數或特定限制下，列舉出二元一次方程式的幾組解。</t>
  </si>
  <si>
    <t>分析學生答案：{user_answer}，正確答案：{correct_answer}。如果錯誤，引導學生固定 x (例如 x=0, 1, 2...)，然後解出對應的 y 值。</t>
  </si>
  <si>
    <t>jh_equation_2var_system_check</t>
  </si>
  <si>
    <t>Check System Equation Solution</t>
  </si>
  <si>
    <t>聯立方程式 (檢驗解)</t>
  </si>
  <si>
    <t>熟練判斷一組 (x, y) 是否為二元一次聯立方程式的「共同解」。</t>
  </si>
  <si>
    <t>分析學生答案：{user_answer}，正確答案：{correct_answer}。如果錯誤，提醒學生 (x, y) 必須「同時」滿足「兩個」方程式，才算是聯立方程式的解。</t>
  </si>
  <si>
    <t>jh_equation_2var_solve_substitution</t>
  </si>
  <si>
    <t>Solve System (Substitution)</t>
  </si>
  <si>
    <t>解聯立方程式 (代入消去法)</t>
  </si>
  <si>
    <t>熟練使用「代入消去法」解二元一次聯立方程式。</t>
  </si>
  <si>
    <t>分析學生答案：{user_answer}，正確答案：{correct_answer}。如果錯誤，引導學生 1. 將其中一式改寫成 x=... 或 y=...。 2. 將此式「代入」另一方程式中。 3. 檢查計算過程。</t>
  </si>
  <si>
    <t>jh_equation_2var_solve_elimination_simple</t>
  </si>
  <si>
    <t>Solve System (Elimination - Simple)</t>
  </si>
  <si>
    <t>解聯立方程式 (加減消去法 - 簡易)</t>
  </si>
  <si>
    <t>熟練使用「加減消去法」（係數相同或相反，如 +y, -y）解聯立方程式。</t>
  </si>
  <si>
    <t>分析學生答案：{user_answer}，正確答案：{correct_answer}。如果錯誤，提醒學生若係數相反 (如 +y, -y)，則兩式「相加」；若係數相同 (如 +y, +y)，則兩式「相減」。</t>
  </si>
  <si>
    <t>jh_equation_2var_solve_elimination_scaling</t>
  </si>
  <si>
    <t>Solve System (Elimination - Scaling)</t>
  </si>
  <si>
    <t>解聯立方程式 (加減消去法 - 縮放)</t>
  </si>
  <si>
    <t>熟練使用「加減消去法」（需先同乘倍數）解聯立方程式。</t>
  </si>
  <si>
    <t>分析學生答案：{user_answer}，正確答案：{correct_answer}。如果錯誤，引導學生 1. 選擇要消去的 x 或 y。 2. 將兩式同乘適當倍數，使其係數相同或相反。 3. 檢查「相加」或「相減」的計算。</t>
  </si>
  <si>
    <t>jh_equation_2var_word_problem_setup</t>
  </si>
  <si>
    <t>2-Variable Word Problem Setup</t>
  </si>
  <si>
    <t>二元一次應用問題 (列式)</t>
  </si>
  <si>
    <t>熟練依題意設定兩個未知數 (x, y)，並列出二元一次聯立方程式。</t>
  </si>
  <si>
    <t>分析學生答案：{user_answer}，正確答案：{correct_answer}。如果錯誤，引導學生找出題目中的「兩種」未知數 (設為 x 和 y)，並找出「兩個」等量關係，分別列出兩個方程式。</t>
  </si>
  <si>
    <t>jh_equation_2var_word_problem_solve</t>
  </si>
  <si>
    <t>2-Variable Word Problem Solve</t>
  </si>
  <si>
    <t>二元一次應用問題 (求解)</t>
  </si>
  <si>
    <t>熟練求解二元一次聯立方程式應用問題並驗算答案。</t>
  </si>
  <si>
    <t>分析學生答案：{user_answer}，正確答案：{correct_answer}。如果錯誤，引導學生 1. 檢查「列式」是否正確。 2. 檢查「代入/加減消去法」的計算是否正確。 3. 檢查答案是否符合題意。</t>
  </si>
  <si>
    <t>jh_plane_plot_point</t>
  </si>
  <si>
    <t>Plot Point on Coordinate Plane</t>
  </si>
  <si>
    <t>平面坐標 (標點)</t>
  </si>
  <si>
    <t>坐標與圖形</t>
  </si>
  <si>
    <t>熟練在直角坐標平面上標示出 (x, y) 點的位置。</t>
  </si>
  <si>
    <t>handwriting</t>
  </si>
  <si>
    <t>分析學生答案（圖形）：{user_answer}，正確答案（圖形）：{correct_answer}。如果錯誤，提醒學生 (x, y) -&gt; (先左右，後上下)。例如 (-2, 3) 是「左 2，上 3」。</t>
  </si>
  <si>
    <t>jh_plane_read_point</t>
  </si>
  <si>
    <t>Read Point Coordinates</t>
  </si>
  <si>
    <t>平面坐標 (讀點)</t>
  </si>
  <si>
    <t>熟練讀取坐標平面上某一點的 (x, y) 坐標。</t>
  </si>
  <si>
    <t>分析學生答案：{user_answer}，正確答案：{correct_answer}。如果錯誤，提醒學生 x 坐標看「水平位置」，y 坐標看「垂直位置」。</t>
  </si>
  <si>
    <t>jh_plane_quadrant_identify</t>
  </si>
  <si>
    <t>Identify Quadrant</t>
  </si>
  <si>
    <t>象限判斷</t>
  </si>
  <si>
    <t>熟練判斷 (x, y) 點所在的象限（I, II, III, IV）或坐標軸（x 軸, y 軸）。</t>
  </si>
  <si>
    <t>分析學生答案：{user_answer}，正確答案：{correct_answer}。如果錯誤，提醒學生象限規則：I (+,+), II (-,+), III (-,-), IV (+,-)。</t>
  </si>
  <si>
    <t>jh_plane_point_translation</t>
  </si>
  <si>
    <t>Point Translation</t>
  </si>
  <si>
    <t>坐標點平移</t>
  </si>
  <si>
    <t>熟練計算 (x, y) 點向上、下、左、右平移後的新坐標。</t>
  </si>
  <si>
    <t>分析學生答案：{user_answer}，正確答案：{correct_answer}。如果錯誤，提醒學生「向右 3」是 x+3，「向下 2」是 y-2。</t>
  </si>
  <si>
    <t>jh_graph_2var_plot_line</t>
  </si>
  <si>
    <t>Graph 2-Variable Equation (Plotting)</t>
  </si>
  <si>
    <t>二元一次方程式圖形 (描點法)</t>
  </si>
  <si>
    <t>熟練找出 ax + by = c 的任意兩組解 (x, y)，並在坐標平面上繪製出其直線圖形。</t>
  </si>
  <si>
    <t>分析學生答案（圖形）：{user_answer}，正確答案（圖形）：{correct_answer}。如果錯誤，教導學生「找兩點決定一直線」，最簡單是找 (x, 0) 和 (0, y) (截距)。</t>
  </si>
  <si>
    <t>jh_graph_horizontal_line</t>
  </si>
  <si>
    <t>Graph Horizontal Line (y=k)</t>
  </si>
  <si>
    <t>水平線圖形 (y=k)</t>
  </si>
  <si>
    <t>熟練繪製水平線 y = k 的圖形。</t>
  </si>
  <si>
    <t>分析學生答案（圖形）：{user_answer}，正確答案（圖形）：{correct_answer}。如果錯誤，提醒學生 y = k 是一條「水平線」，通過 (0, k)。</t>
  </si>
  <si>
    <t>jh_graph_vertical_line</t>
  </si>
  <si>
    <t>Graph Vertical Line (x=h)</t>
  </si>
  <si>
    <t>鉛直線圖形 (x=h)</t>
  </si>
  <si>
    <t>熟練繪製鉛直線 x = h 的圖形。</t>
  </si>
  <si>
    <t>分析學生答案（圖形）：{user_answer}，正確答案（圖形）：{correct_answer}。如果錯誤，提醒學生 x = h 是一條「鉛直線」，通過 (h, 0)。</t>
  </si>
  <si>
    <t>jh_graph_system_solution</t>
  </si>
  <si>
    <t>System Solution (Intersection)</t>
  </si>
  <si>
    <t>聯立方程式的圖形解</t>
  </si>
  <si>
    <t>理解聯立方程式的解，即為兩條直線圖形的「交點坐標」。</t>
  </si>
  <si>
    <t>分析學生答案：{user_answer}，正確答案：{correct_answer}。如果錯誤，提醒學生兩直線的「交點」坐標 (x, y) 即為聯立方程式的唯一解。</t>
  </si>
  <si>
    <t>jh_ratio_def_value</t>
  </si>
  <si>
    <t>Ratio &amp; Ratio Value</t>
  </si>
  <si>
    <t>比與比值</t>
  </si>
  <si>
    <t>比例</t>
  </si>
  <si>
    <t>熟練計算 a:b 的比值（a/b）。</t>
  </si>
  <si>
    <t>分析學生答案：{user_answer}，正確答案：{correct_answer}。如果錯誤，提醒學生 3:5 的比值是 3/5 (前項除以後項)。</t>
  </si>
  <si>
    <t>jh_ratio_simplify</t>
  </si>
  <si>
    <t>Simplify Ratio</t>
  </si>
  <si>
    <t>最簡整數比</t>
  </si>
  <si>
    <t>熟練將分數比、小數比或整數比化為最簡整數比。</t>
  </si>
  <si>
    <t>分析學生答案：{user_answer}，正確答案：{correct_answer}。如果錯誤，提醒學生「最簡整數比」：1. 各項皆為整數 2. 各項互質。</t>
  </si>
  <si>
    <t>jh_proportion_solve</t>
  </si>
  <si>
    <t>Solve Proportion</t>
  </si>
  <si>
    <t>比例式 (求解)</t>
  </si>
  <si>
    <t>熟練應用「內項積 = 外項積」(ad=bc) 求解 x:a = b:c 中的 x。</t>
  </si>
  <si>
    <t>分析學生答案：{user_answer}，正確答案：{correct_answer}。如果錯誤，提醒學生 x:3 = 4:5 ⇒ 5x = 3×4 ⇒ 5x = 12 ⇒ x = 12/5。</t>
  </si>
  <si>
    <t>jh_proportion_word_problem</t>
  </si>
  <si>
    <t>Proportional Word Problem</t>
  </si>
  <si>
    <t>比例應用問題 (設 r)</t>
  </si>
  <si>
    <t>熟練應用 x:y = a:b ⇒ 設 x = ar, y = br (r≠0) 求解應用問題。</t>
  </si>
  <si>
    <t>分析學生答案：{user_answer}，正確答案：{correct_answer}。如果錯誤，引導學生若 x:y = 3:2，應假設 x = 3r, y = 2r，再代入其他條件解出 r。</t>
  </si>
  <si>
    <t>jh_proportion_direct_def</t>
  </si>
  <si>
    <t>Direct Proportion (y=kx)</t>
  </si>
  <si>
    <t>正比</t>
  </si>
  <si>
    <t>熟練判斷兩數量 x, y 是否成正比（y = kx 或 y/x = k, k≠0）。</t>
  </si>
  <si>
    <t>分析學生答案：{user_answer}，正確答案：{correct_answer}。如果錯誤，提醒學生「正比」代表 x 變 2 倍時，y 也變 2 倍，且其關係式為 y = kx。</t>
  </si>
  <si>
    <t>jh_proportion_inverse_def</t>
  </si>
  <si>
    <t>Inverse Proportion (xy=k)</t>
  </si>
  <si>
    <t>反比</t>
  </si>
  <si>
    <t>熟練判斷兩數量 x, y 是否成反比（xy = k, k≠0）。</t>
  </si>
  <si>
    <t>分析學生答案：{user_answer}，正確答案：{correct_answer}。如果錯誤，提醒學生「反比」代表 x 變 2 倍時，y 變 1/2 倍，且其關係式為 xy = k。</t>
  </si>
  <si>
    <t>jh_inequality_def_symbols</t>
  </si>
  <si>
    <t>Inequality Symbols</t>
  </si>
  <si>
    <t>不等號的認識</t>
  </si>
  <si>
    <t>不等式</t>
  </si>
  <si>
    <t>熟練辨識 &gt; (大於), &lt; (小於), ≥ (不小於/大於等於), ≤ (不大於/小於等於) 的意義。</t>
  </si>
  <si>
    <t>分析學生答案：{user_answer}，正確答案：{correct_answer}。如果錯誤，提醒學生「x 不小於 5」代表「x ≥ 5」；「x 不大於 5」代表「x ≤ 5」。</t>
  </si>
  <si>
    <t>jh_inequality_word_problem_setup</t>
  </si>
  <si>
    <t>Inequality Word Problem Setup</t>
  </si>
  <si>
    <t>一元一次不等式 (列式)</t>
  </si>
  <si>
    <t>熟練依題意列出一元一次不等式。</t>
  </si>
  <si>
    <t>分析學生答案：{user_answer}，正確答案：{correct_answer}。如果錯誤，提醒學生「超過 100 元」是 &gt; 100；「不超過 100 元」是 ≤ 100。</t>
  </si>
  <si>
    <t>jh_inequality_check_solution</t>
  </si>
  <si>
    <t>Check Inequality Solution</t>
  </si>
  <si>
    <t>不等式 (檢驗解)</t>
  </si>
  <si>
    <t>熟練判斷一個數是否為一元一次不等式的解。</t>
  </si>
  <si>
    <t>分析學生答案：{user_answer}，正確答案：{correct_answer}。如果錯誤，引導學生將 x 值代入不等式，檢查是否「滿足」不等號。</t>
  </si>
  <si>
    <t>jh_inequality_plot_number_line</t>
  </si>
  <si>
    <t>Plot Inequality on Number Line</t>
  </si>
  <si>
    <t>不等式圖示 (數線)</t>
  </si>
  <si>
    <t>熟練在數線上圖示不等式的解（包含空心圓與實心圓）。</t>
  </si>
  <si>
    <t>分析學生答案（圖形）：{user_answer}，正確答案（圖形）：{correct_answer}。如果錯誤，提醒學生 &gt; 或 &lt; 是「空心圓」（不包含端點）；≥ 或 ≤ 是「實心圓」（包含端點）。</t>
  </si>
  <si>
    <t>jh_inequality_solve_add_sub</t>
  </si>
  <si>
    <t>Solve Inequality (Add/Sub)</t>
  </si>
  <si>
    <t>解不等式 (加減移項)</t>
  </si>
  <si>
    <t>熟練使用加法與減法（移項）求解不等式。</t>
  </si>
  <si>
    <t>分析學生答案：{user_answer}，正確答案：{correct_answer}。如果錯誤，提醒學生 x + 3 &gt; 5 ⇒ x &gt; 5 - 3，加減移項時，不等號「方向不變」。</t>
  </si>
  <si>
    <t>jh_inequality_solve_mul_div_positive</t>
  </si>
  <si>
    <t>Solve Inequality (Mul/Div Positive)</t>
  </si>
  <si>
    <t>解不等式 (同乘除正數)</t>
  </si>
  <si>
    <t>熟練使用乘法與除法（同乘除以正數）求解不等式。</t>
  </si>
  <si>
    <t>分析學生答案：{user_answer}，正確答案：{correct_answer}。如果錯誤，提醒學生 3x &gt; 6 ⇒ x &gt; 6 ÷ 3，同乘除「正數」時，不等號「方向不變」。</t>
  </si>
  <si>
    <t>jh_inequality_solve_mul_div_negative</t>
  </si>
  <si>
    <t>Solve Inequality (Mul/Div Negative)</t>
  </si>
  <si>
    <t>解不等式 (同乘除負數)</t>
  </si>
  <si>
    <t>熟練使用乘法與除法（同乘除以負數）求解不等式。</t>
  </si>
  <si>
    <t>分析學生答案：{user_answer}，正確答案：{correct_answer}。如果錯誤，提醒學生「同乘除以一個負數時，不等號方向要改變」。例如 -2x &gt; 6 ⇒ x &lt; 6 ÷ (-2) ⇒ x &lt; -3。</t>
  </si>
  <si>
    <t>jh_inequality_solve_multi_step</t>
  </si>
  <si>
    <t>Solve Inequality (Multi-Step)</t>
  </si>
  <si>
    <t>解一元一次不等式 (多步驟)</t>
  </si>
  <si>
    <t>熟練求解多步驟的一元一次不等式（含移項、去括號、去分母）。</t>
  </si>
  <si>
    <t>分析學生答案：{user_answer}，正確答案：{correct_answer}。如果錯誤，引導學生 1. 先去括號/去分母。 2. 移項（x 移一邊，常數移一邊）。 3. 檢查最後一步除法是否因「負數」而改變方向。</t>
  </si>
  <si>
    <t>jh_stats_freq_polygon_plot</t>
  </si>
  <si>
    <t>Frequency Polygon</t>
  </si>
  <si>
    <t>次數分配折線圖</t>
  </si>
  <si>
    <t>統計</t>
  </si>
  <si>
    <t>熟練繪製次數分配折線圖（標示組中點）。</t>
  </si>
  <si>
    <t>分析學生答案（圖形）：{user_answer}，正確答案（圖形）：{correct_answer}。如果錯誤，提醒學生「折線圖」要標示「組中點」並連接，且頭尾需「各補一組」使其接地。</t>
  </si>
  <si>
    <t>jh_geo_def_point_line_angle</t>
  </si>
  <si>
    <t>Geometry Definitions (Point, Line, Angle)</t>
  </si>
  <si>
    <t>幾何定義 (點線角)</t>
  </si>
  <si>
    <t>幾何</t>
  </si>
  <si>
    <t>認識點、線、射線、線段與角的定義及符號。</t>
  </si>
  <si>
    <t>分析學生答案：{user_answer}，正確答案：{correct_answer}。如果錯誤，提醒學生「線段 AB」 (有端點) 與「直線 AB」 (無限延伸) 的不同。</t>
  </si>
  <si>
    <t>jh_geo_def_polygon</t>
  </si>
  <si>
    <t>Polygon Definitions</t>
  </si>
  <si>
    <t>多邊形定義</t>
  </si>
  <si>
    <t>認識多邊形、正多邊形、對角線的定義。</t>
  </si>
  <si>
    <t>分析學生答案：{user_answer}，正確答案：{correct_answer}。如果錯誤，提醒學生「正多邊形」需要「等邊」且「等角」。</t>
  </si>
  <si>
    <t>jh_geo_def_perpendicular_bisector</t>
  </si>
  <si>
    <t>Perpendicular &amp; Bisector</t>
  </si>
  <si>
    <t>垂直與平分線</t>
  </si>
  <si>
    <t>熟練垂直、垂足、點到直線距離、中點與垂直平分線的定義。</t>
  </si>
  <si>
    <t>分析學生答案：{user_answer}，正確答案：{correct_answer}。如果錯誤，提醒學生「點到直線的距離」是指「垂直距離」（最短）。</t>
  </si>
  <si>
    <t>jh_geo_def_line_symmetry</t>
  </si>
  <si>
    <t>Line Symmetry</t>
  </si>
  <si>
    <t>線對稱</t>
  </si>
  <si>
    <t>熟練判斷線對稱圖形，並找出對稱軸、對稱點、對稱角。</t>
  </si>
  <si>
    <t>分析學生答案（圖形或判斷）：{user_answer}，正確答案：{correct_answer}。如果錯誤，提醒學生「線對稱圖形」沿「對稱軸」摺疊後，兩側會「完全重合」。</t>
  </si>
  <si>
    <t>jh_geo_def_3d_views</t>
  </si>
  <si>
    <t>3D Views</t>
  </si>
  <si>
    <t>三視圖</t>
  </si>
  <si>
    <t>熟練辨識立體圖形的前視圖、上視圖與右視圖。</t>
  </si>
  <si>
    <t>分析學生答案（圖形）：{user_answer}，正確答案：{correct_answer}。如果錯誤，引導學生想像自己站在「正前方」、「正上方」或「正右方」看積木，所看到的 2D 形狀。</t>
  </si>
  <si>
    <r>
      <t>[</t>
    </r>
    <r>
      <rPr>
        <sz val="10"/>
        <color rgb="FF000000"/>
        <rFont val="Arial"/>
        <family val="3"/>
        <charset val="136"/>
        <scheme val="minor"/>
      </rPr>
      <t>任務</t>
    </r>
    <r>
      <rPr>
        <sz val="10"/>
        <color rgb="FF000000"/>
        <rFont val="Arial"/>
        <scheme val="minor"/>
      </rPr>
      <t xml:space="preserve">]
</t>
    </r>
    <r>
      <rPr>
        <sz val="10"/>
        <color rgb="FF000000"/>
        <rFont val="Arial"/>
        <family val="3"/>
        <charset val="136"/>
        <scheme val="minor"/>
      </rPr>
      <t>你是功文式數學助教。你的語氣必須</t>
    </r>
    <r>
      <rPr>
        <sz val="10"/>
        <color rgb="FF000000"/>
        <rFont val="Arial"/>
        <scheme val="minor"/>
      </rPr>
      <t xml:space="preserve"> **</t>
    </r>
    <r>
      <rPr>
        <sz val="10"/>
        <color rgb="FF000000"/>
        <rFont val="Arial"/>
        <family val="3"/>
        <charset val="136"/>
        <scheme val="minor"/>
      </rPr>
      <t>簡潔、中性、專業</t>
    </r>
    <r>
      <rPr>
        <sz val="10"/>
        <color rgb="FF000000"/>
        <rFont val="Arial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 xml:space="preserve">。
</t>
    </r>
    <r>
      <rPr>
        <sz val="10"/>
        <color rgb="FF000000"/>
        <rFont val="Arial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>嚴格禁止</t>
    </r>
    <r>
      <rPr>
        <sz val="10"/>
        <color rgb="FF000000"/>
        <rFont val="Arial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>：聊天（如</t>
    </r>
    <r>
      <rPr>
        <sz val="10"/>
        <color rgb="FF000000"/>
        <rFont val="Arial"/>
        <scheme val="minor"/>
      </rPr>
      <t xml:space="preserve"> "</t>
    </r>
    <r>
      <rPr>
        <sz val="10"/>
        <color rgb="FF000000"/>
        <rFont val="Arial"/>
        <family val="3"/>
        <charset val="136"/>
        <scheme val="minor"/>
      </rPr>
      <t>哈囉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）、表情符號（</t>
    </r>
    <r>
      <rPr>
        <sz val="10"/>
        <color rgb="FF000000"/>
        <rFont val="Arial"/>
        <scheme val="minor"/>
      </rPr>
      <t>emoji</t>
    </r>
    <r>
      <rPr>
        <sz val="10"/>
        <color rgb="FF000000"/>
        <rFont val="Arial"/>
        <family val="3"/>
        <charset val="136"/>
        <scheme val="minor"/>
      </rPr>
      <t>）、過度讚美（如</t>
    </r>
    <r>
      <rPr>
        <sz val="10"/>
        <color rgb="FF000000"/>
        <rFont val="Arial"/>
        <scheme val="minor"/>
      </rPr>
      <t xml:space="preserve"> "</t>
    </r>
    <r>
      <rPr>
        <sz val="10"/>
        <color rgb="FF000000"/>
        <rFont val="Arial"/>
        <family val="3"/>
        <charset val="136"/>
        <scheme val="minor"/>
      </rPr>
      <t>你很棒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、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哇</t>
    </r>
    <r>
      <rPr>
        <sz val="10"/>
        <color rgb="FF000000"/>
        <rFont val="Arial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 xml:space="preserve">）或不必要的鼓勵性廢話。
</t>
    </r>
    <r>
      <rPr>
        <sz val="10"/>
        <color rgb="FF000000"/>
        <rFont val="Arial"/>
        <scheme val="minor"/>
      </rPr>
      <t>[</t>
    </r>
    <r>
      <rPr>
        <sz val="10"/>
        <color rgb="FF000000"/>
        <rFont val="Arial"/>
        <family val="3"/>
        <charset val="136"/>
        <scheme val="minor"/>
      </rPr>
      <t>分析</t>
    </r>
    <r>
      <rPr>
        <sz val="10"/>
        <color rgb="FF000000"/>
        <rFont val="Arial"/>
        <scheme val="minor"/>
      </rPr>
      <t xml:space="preserve">]
</t>
    </r>
    <r>
      <rPr>
        <sz val="10"/>
        <color rgb="FF000000"/>
        <rFont val="Arial"/>
        <family val="3"/>
        <charset val="136"/>
        <scheme val="minor"/>
      </rPr>
      <t>學生答案：</t>
    </r>
    <r>
      <rPr>
        <sz val="10"/>
        <color rgb="FF000000"/>
        <rFont val="Arial"/>
        <scheme val="minor"/>
      </rPr>
      <t xml:space="preserve">{user_answer}
</t>
    </r>
    <r>
      <rPr>
        <sz val="10"/>
        <color rgb="FF000000"/>
        <rFont val="Arial"/>
        <family val="3"/>
        <charset val="136"/>
        <scheme val="minor"/>
      </rPr>
      <t>正確答案：</t>
    </r>
    <r>
      <rPr>
        <sz val="10"/>
        <color rgb="FF000000"/>
        <rFont val="Arial"/>
        <scheme val="minor"/>
      </rPr>
      <t>{correct_answer}
[</t>
    </r>
    <r>
      <rPr>
        <sz val="10"/>
        <color rgb="FF000000"/>
        <rFont val="Arial"/>
        <family val="3"/>
        <charset val="136"/>
        <scheme val="minor"/>
      </rPr>
      <t>指導</t>
    </r>
    <r>
      <rPr>
        <sz val="10"/>
        <color rgb="FF000000"/>
        <rFont val="Arial"/>
        <scheme val="minor"/>
      </rPr>
      <t>]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</si>
</sst>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9"/>
  <sheetViews>
    <sheetView tabSelected="1" topLeftCell="A11" workbookViewId="0">
      <selection activeCell="N2" sqref="N2:N39"/>
    </sheetView>
  </sheetViews>
  <sheetFormatPr defaultColWidth="12.61328125" defaultRowHeight="17.25" customHeight="1" x14ac:dyDescent="0.3"/>
  <sheetData>
    <row r="1" spans="1:14" ht="17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ht="17.2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</v>
      </c>
      <c r="I2" s="1" t="b">
        <v>1</v>
      </c>
      <c r="J2" s="1">
        <v>4760</v>
      </c>
      <c r="L2" t="str">
        <f>RIGHT(G2,LEN(G2)-43)</f>
        <v>如果錯誤，提醒學生「x」只能跟「x」合併，「y」只能跟「y」合併，「常數」只能跟「常數」合併。</v>
      </c>
      <c r="M2" s="2" t="s">
        <v>209</v>
      </c>
      <c r="N2" t="str">
        <f>M2&amp;L2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[指導]如果錯誤，提醒學生「x」只能跟「x」合併，「y」只能跟「y」合併，「常數」只能跟「常數」合併。</v>
      </c>
    </row>
    <row r="3" spans="1:14" ht="17.25" customHeight="1" x14ac:dyDescent="0.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</v>
      </c>
      <c r="I3" s="1" t="b">
        <v>1</v>
      </c>
      <c r="J3" s="1">
        <v>4770</v>
      </c>
      <c r="L3" t="str">
        <f t="shared" ref="L3:L39" si="0">RIGHT(G3,LEN(G3)-43)</f>
        <v>如果錯誤，提醒學生 x=2, y=-1 時，3x - 2y = 3(2) - 2(-1) = 6 + 2 = 8。注意負負得正。</v>
      </c>
      <c r="M3" s="2" t="s">
        <v>209</v>
      </c>
      <c r="N3" t="str">
        <f t="shared" ref="N3:N39" si="1">M3&amp;L3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x=2, y=-1 時，3x - 2y = 3(2) - 2(-1) = 6 + 2 = 8。注意負負得正。</v>
      </c>
    </row>
    <row r="4" spans="1:14" ht="17.25" customHeight="1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15</v>
      </c>
      <c r="G4" s="1" t="s">
        <v>27</v>
      </c>
      <c r="H4" s="1">
        <v>5</v>
      </c>
      <c r="I4" s="1" t="b">
        <v>1</v>
      </c>
      <c r="J4" s="1">
        <v>4780</v>
      </c>
      <c r="L4" t="str">
        <f t="shared" si="0"/>
        <v>如果錯誤，引導學生將 (x, y) 代入方程式左側，檢查其值是否等於右側的 c。</v>
      </c>
      <c r="M4" s="2" t="s">
        <v>209</v>
      </c>
      <c r="N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(x, y) 代入方程式左側，檢查其值是否等於右側的 c。</v>
      </c>
    </row>
    <row r="5" spans="1:14" ht="17.25" customHeight="1" x14ac:dyDescent="0.3">
      <c r="A5" s="1" t="s">
        <v>28</v>
      </c>
      <c r="B5" s="1" t="s">
        <v>29</v>
      </c>
      <c r="C5" s="1" t="s">
        <v>30</v>
      </c>
      <c r="D5" s="1" t="s">
        <v>25</v>
      </c>
      <c r="E5" s="1" t="s">
        <v>31</v>
      </c>
      <c r="F5" s="1" t="s">
        <v>15</v>
      </c>
      <c r="G5" s="1" t="s">
        <v>32</v>
      </c>
      <c r="H5" s="1">
        <v>5</v>
      </c>
      <c r="I5" s="1" t="b">
        <v>1</v>
      </c>
      <c r="J5" s="1">
        <v>4790</v>
      </c>
      <c r="L5" t="str">
        <f t="shared" si="0"/>
        <v>如果錯誤，引導學生固定 x (例如 x=0, 1, 2...)，然後解出對應的 y 值。</v>
      </c>
      <c r="M5" s="2" t="s">
        <v>209</v>
      </c>
      <c r="N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[指導]如果錯誤，引導學生固定 x (例如 x=0, 1, 2...)，然後解出對應的 y 值。</v>
      </c>
    </row>
    <row r="6" spans="1:14" ht="17.25" customHeight="1" x14ac:dyDescent="0.3">
      <c r="A6" s="1" t="s">
        <v>33</v>
      </c>
      <c r="B6" s="1" t="s">
        <v>34</v>
      </c>
      <c r="C6" s="1" t="s">
        <v>35</v>
      </c>
      <c r="D6" s="1" t="s">
        <v>25</v>
      </c>
      <c r="E6" s="1" t="s">
        <v>36</v>
      </c>
      <c r="F6" s="1" t="s">
        <v>15</v>
      </c>
      <c r="G6" s="1" t="s">
        <v>37</v>
      </c>
      <c r="H6" s="1">
        <v>5</v>
      </c>
      <c r="I6" s="1" t="b">
        <v>1</v>
      </c>
      <c r="J6" s="1">
        <v>4800</v>
      </c>
      <c r="L6" t="str">
        <f t="shared" si="0"/>
        <v>如果錯誤，提醒學生 (x, y) 必須「同時」滿足「兩個」方程式，才算是聯立方程式的解。</v>
      </c>
      <c r="M6" s="2" t="s">
        <v>209</v>
      </c>
      <c r="N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(x, y) 必須「同時」滿足「兩個」方程式，才算是聯立方程式的解。</v>
      </c>
    </row>
    <row r="7" spans="1:14" ht="17.25" customHeight="1" x14ac:dyDescent="0.3">
      <c r="A7" s="1" t="s">
        <v>38</v>
      </c>
      <c r="B7" s="1" t="s">
        <v>39</v>
      </c>
      <c r="C7" s="1" t="s">
        <v>40</v>
      </c>
      <c r="D7" s="1" t="s">
        <v>25</v>
      </c>
      <c r="E7" s="1" t="s">
        <v>41</v>
      </c>
      <c r="F7" s="1" t="s">
        <v>15</v>
      </c>
      <c r="G7" s="1" t="s">
        <v>42</v>
      </c>
      <c r="H7" s="1">
        <v>5</v>
      </c>
      <c r="I7" s="1" t="b">
        <v>1</v>
      </c>
      <c r="J7" s="1">
        <v>4810</v>
      </c>
      <c r="L7" t="str">
        <f t="shared" si="0"/>
        <v>如果錯誤，引導學生 1. 將其中一式改寫成 x=... 或 y=...。 2. 將此式「代入」另一方程式中。 3. 檢查計算過程。</v>
      </c>
      <c r="M7" s="2" t="s">
        <v>209</v>
      </c>
      <c r="N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將其中一式改寫成 x=... 或 y=...。 2. 將此式「代入」另一方程式中。 3. 檢查計算過程。</v>
      </c>
    </row>
    <row r="8" spans="1:14" ht="17.25" customHeight="1" x14ac:dyDescent="0.3">
      <c r="A8" s="1" t="s">
        <v>43</v>
      </c>
      <c r="B8" s="1" t="s">
        <v>44</v>
      </c>
      <c r="C8" s="1" t="s">
        <v>45</v>
      </c>
      <c r="D8" s="1" t="s">
        <v>25</v>
      </c>
      <c r="E8" s="1" t="s">
        <v>46</v>
      </c>
      <c r="F8" s="1" t="s">
        <v>15</v>
      </c>
      <c r="G8" s="1" t="s">
        <v>47</v>
      </c>
      <c r="H8" s="1">
        <v>5</v>
      </c>
      <c r="I8" s="1" t="b">
        <v>1</v>
      </c>
      <c r="J8" s="1">
        <v>4820</v>
      </c>
      <c r="L8" t="str">
        <f t="shared" si="0"/>
        <v>如果錯誤，提醒學生若係數相反 (如 +y, -y)，則兩式「相加」；若係數相同 (如 +y, +y)，則兩式「相減」。</v>
      </c>
      <c r="M8" s="2" t="s">
        <v>209</v>
      </c>
      <c r="N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[指導]如果錯誤，提醒學生若係數相反 (如 +y, -y)，則兩式「相加」；若係數相同 (如 +y, +y)，則兩式「相減」。</v>
      </c>
    </row>
    <row r="9" spans="1:14" ht="17.25" customHeight="1" x14ac:dyDescent="0.3">
      <c r="A9" s="1" t="s">
        <v>48</v>
      </c>
      <c r="B9" s="1" t="s">
        <v>49</v>
      </c>
      <c r="C9" s="1" t="s">
        <v>50</v>
      </c>
      <c r="D9" s="1" t="s">
        <v>25</v>
      </c>
      <c r="E9" s="1" t="s">
        <v>51</v>
      </c>
      <c r="F9" s="1" t="s">
        <v>15</v>
      </c>
      <c r="G9" s="1" t="s">
        <v>52</v>
      </c>
      <c r="H9" s="1">
        <v>5</v>
      </c>
      <c r="I9" s="1" t="b">
        <v>1</v>
      </c>
      <c r="J9" s="1">
        <v>4830</v>
      </c>
      <c r="L9" t="str">
        <f t="shared" si="0"/>
        <v>如果錯誤，引導學生 1. 選擇要消去的 x 或 y。 2. 將兩式同乘適當倍數，使其係數相同或相反。 3. 檢查「相加」或「相減」的計算。</v>
      </c>
      <c r="M9" s="2" t="s">
        <v>209</v>
      </c>
      <c r="N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選擇要消去的 x 或 y。 2. 將兩式同乘適當倍數，使其係數相同或相反。 3. 檢查「相加」或「相減」的計算。</v>
      </c>
    </row>
    <row r="10" spans="1:14" ht="17.25" customHeight="1" x14ac:dyDescent="0.3">
      <c r="A10" s="1" t="s">
        <v>53</v>
      </c>
      <c r="B10" s="1" t="s">
        <v>54</v>
      </c>
      <c r="C10" s="1" t="s">
        <v>55</v>
      </c>
      <c r="D10" s="1" t="s">
        <v>25</v>
      </c>
      <c r="E10" s="1" t="s">
        <v>56</v>
      </c>
      <c r="F10" s="1" t="s">
        <v>15</v>
      </c>
      <c r="G10" s="1" t="s">
        <v>57</v>
      </c>
      <c r="H10" s="1">
        <v>5</v>
      </c>
      <c r="I10" s="1" t="b">
        <v>1</v>
      </c>
      <c r="J10" s="1">
        <v>4840</v>
      </c>
      <c r="L10" t="str">
        <f t="shared" si="0"/>
        <v>如果錯誤，引導學生找出題目中的「兩種」未知數 (設為 x 和 y)，並找出「兩個」等量關係，分別列出兩個方程式。</v>
      </c>
      <c r="M10" s="2" t="s">
        <v>209</v>
      </c>
      <c r="N1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[指導]如果錯誤，引導學生找出題目中的「兩種」未知數 (設為 x 和 y)，並找出「兩個」等量關係，分別列出兩個方程式。</v>
      </c>
    </row>
    <row r="11" spans="1:14" ht="17.25" customHeight="1" x14ac:dyDescent="0.3">
      <c r="A11" s="1" t="s">
        <v>58</v>
      </c>
      <c r="B11" s="1" t="s">
        <v>59</v>
      </c>
      <c r="C11" s="1" t="s">
        <v>60</v>
      </c>
      <c r="D11" s="1" t="s">
        <v>25</v>
      </c>
      <c r="E11" s="1" t="s">
        <v>61</v>
      </c>
      <c r="F11" s="1" t="s">
        <v>15</v>
      </c>
      <c r="G11" s="1" t="s">
        <v>62</v>
      </c>
      <c r="H11" s="1">
        <v>5</v>
      </c>
      <c r="I11" s="1" t="b">
        <v>1</v>
      </c>
      <c r="J11" s="1">
        <v>4850</v>
      </c>
      <c r="L11" t="str">
        <f t="shared" si="0"/>
        <v>如果錯誤，引導學生 1. 檢查「列式」是否正確。 2. 檢查「代入/加減消去法」的計算是否正確。 3. 檢查答案是否符合題意。</v>
      </c>
      <c r="M11" s="2" t="s">
        <v>209</v>
      </c>
      <c r="N1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檢查「列式」是否正確。 2. 檢查「代入/加減消去法」的計算是否正確。 3. 檢查答案是否符合題意。</v>
      </c>
    </row>
    <row r="12" spans="1:14" ht="17.25" customHeight="1" x14ac:dyDescent="0.3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69</v>
      </c>
      <c r="H12" s="1">
        <v>5</v>
      </c>
      <c r="I12" s="1" t="b">
        <v>1</v>
      </c>
      <c r="J12" s="1">
        <v>4860</v>
      </c>
      <c r="L12" t="str">
        <f>RIGHT(G12,LEN(G12)-51)</f>
        <v>如果錯誤，提醒學生 (x, y) -&gt; (先左右，後上下)。例如 (-2, 3) 是「左 2，上 3」。</v>
      </c>
      <c r="M12" s="2" t="s">
        <v>209</v>
      </c>
      <c r="N12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(x, y) -&gt; (先左右，後上下)。例如 (-2, 3) 是「左 2，上 3」。</v>
      </c>
    </row>
    <row r="13" spans="1:14" ht="17.25" customHeight="1" x14ac:dyDescent="0.3">
      <c r="A13" s="1" t="s">
        <v>70</v>
      </c>
      <c r="B13" s="1" t="s">
        <v>71</v>
      </c>
      <c r="C13" s="1" t="s">
        <v>72</v>
      </c>
      <c r="D13" s="1" t="s">
        <v>66</v>
      </c>
      <c r="E13" s="1" t="s">
        <v>73</v>
      </c>
      <c r="F13" s="1" t="s">
        <v>15</v>
      </c>
      <c r="G13" s="1" t="s">
        <v>74</v>
      </c>
      <c r="H13" s="1">
        <v>5</v>
      </c>
      <c r="I13" s="1" t="b">
        <v>1</v>
      </c>
      <c r="J13" s="1">
        <v>4870</v>
      </c>
      <c r="L13" t="str">
        <f t="shared" si="0"/>
        <v>如果錯誤，提醒學生 x 坐標看「水平位置」，y 坐標看「垂直位置」。</v>
      </c>
      <c r="M13" s="2" t="s">
        <v>209</v>
      </c>
      <c r="N13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坐標看「水平位置」，y 坐標看「垂直位置」。</v>
      </c>
    </row>
    <row r="14" spans="1:14" ht="17.25" customHeight="1" x14ac:dyDescent="0.3">
      <c r="A14" s="1" t="s">
        <v>75</v>
      </c>
      <c r="B14" s="1" t="s">
        <v>76</v>
      </c>
      <c r="C14" s="1" t="s">
        <v>77</v>
      </c>
      <c r="D14" s="1" t="s">
        <v>66</v>
      </c>
      <c r="E14" s="1" t="s">
        <v>78</v>
      </c>
      <c r="F14" s="1" t="s">
        <v>15</v>
      </c>
      <c r="G14" s="1" t="s">
        <v>79</v>
      </c>
      <c r="H14" s="1">
        <v>5</v>
      </c>
      <c r="I14" s="1" t="b">
        <v>1</v>
      </c>
      <c r="J14" s="1">
        <v>4880</v>
      </c>
      <c r="L14" t="str">
        <f t="shared" si="0"/>
        <v>如果錯誤，提醒學生象限規則：I (+,+), II (-,+), III (-,-), IV (+,-)。</v>
      </c>
      <c r="M14" s="2" t="s">
        <v>209</v>
      </c>
      <c r="N1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[指導]如果錯誤，提醒學生象限規則：I (+,+), II (-,+), III (-,-), IV (+,-)。</v>
      </c>
    </row>
    <row r="15" spans="1:14" ht="17.25" customHeight="1" x14ac:dyDescent="0.3">
      <c r="A15" s="1" t="s">
        <v>80</v>
      </c>
      <c r="B15" s="1" t="s">
        <v>81</v>
      </c>
      <c r="C15" s="1" t="s">
        <v>82</v>
      </c>
      <c r="D15" s="1" t="s">
        <v>66</v>
      </c>
      <c r="E15" s="1" t="s">
        <v>83</v>
      </c>
      <c r="F15" s="1" t="s">
        <v>15</v>
      </c>
      <c r="G15" s="1" t="s">
        <v>84</v>
      </c>
      <c r="H15" s="1">
        <v>5</v>
      </c>
      <c r="I15" s="1" t="b">
        <v>1</v>
      </c>
      <c r="J15" s="1">
        <v>4890</v>
      </c>
      <c r="L15" t="str">
        <f t="shared" si="0"/>
        <v>如果錯誤，提醒學生「向右 3」是 x+3，「向下 2」是 y-2。</v>
      </c>
      <c r="M15" s="2" t="s">
        <v>209</v>
      </c>
      <c r="N1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[指導]如果錯誤，提醒學生「向右 3」是 x+3，「向下 2」是 y-2。</v>
      </c>
    </row>
    <row r="16" spans="1:14" ht="17.25" customHeight="1" x14ac:dyDescent="0.3">
      <c r="A16" s="1" t="s">
        <v>85</v>
      </c>
      <c r="B16" s="1" t="s">
        <v>86</v>
      </c>
      <c r="C16" s="1" t="s">
        <v>87</v>
      </c>
      <c r="D16" s="1" t="s">
        <v>66</v>
      </c>
      <c r="E16" s="1" t="s">
        <v>88</v>
      </c>
      <c r="F16" s="1" t="s">
        <v>68</v>
      </c>
      <c r="G16" s="1" t="s">
        <v>89</v>
      </c>
      <c r="H16" s="1">
        <v>5</v>
      </c>
      <c r="I16" s="1" t="b">
        <v>1</v>
      </c>
      <c r="J16" s="1">
        <v>4900</v>
      </c>
      <c r="L16" t="str">
        <f>RIGHT(G16,LEN(G16)-51)</f>
        <v>如果錯誤，教導學生「找兩點決定一直線」，最簡單是找 (x, 0) 和 (0, y) (截距)。</v>
      </c>
      <c r="M16" s="2" t="s">
        <v>209</v>
      </c>
      <c r="N1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[指導]如果錯誤，教導學生「找兩點決定一直線」，最簡單是找 (x, 0) 和 (0, y) (截距)。</v>
      </c>
    </row>
    <row r="17" spans="1:14" ht="17.25" customHeight="1" x14ac:dyDescent="0.3">
      <c r="A17" s="1" t="s">
        <v>90</v>
      </c>
      <c r="B17" s="1" t="s">
        <v>91</v>
      </c>
      <c r="C17" s="1" t="s">
        <v>92</v>
      </c>
      <c r="D17" s="1" t="s">
        <v>66</v>
      </c>
      <c r="E17" s="1" t="s">
        <v>93</v>
      </c>
      <c r="F17" s="1" t="s">
        <v>68</v>
      </c>
      <c r="G17" s="1" t="s">
        <v>94</v>
      </c>
      <c r="H17" s="1">
        <v>5</v>
      </c>
      <c r="I17" s="1" t="b">
        <v>1</v>
      </c>
      <c r="J17" s="1">
        <v>4910</v>
      </c>
      <c r="L17" t="str">
        <f>RIGHT(G17,LEN(G17)-51)</f>
        <v>如果錯誤，提醒學生 y = k 是一條「水平線」，通過 (0, k)。</v>
      </c>
      <c r="M17" s="2" t="s">
        <v>209</v>
      </c>
      <c r="N1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y = k 是一條「水平線」，通過 (0, k)。</v>
      </c>
    </row>
    <row r="18" spans="1:14" ht="17.25" customHeight="1" x14ac:dyDescent="0.3">
      <c r="A18" s="1" t="s">
        <v>95</v>
      </c>
      <c r="B18" s="1" t="s">
        <v>96</v>
      </c>
      <c r="C18" s="1" t="s">
        <v>97</v>
      </c>
      <c r="D18" s="1" t="s">
        <v>66</v>
      </c>
      <c r="E18" s="1" t="s">
        <v>98</v>
      </c>
      <c r="F18" s="1" t="s">
        <v>68</v>
      </c>
      <c r="G18" s="1" t="s">
        <v>99</v>
      </c>
      <c r="H18" s="1">
        <v>5</v>
      </c>
      <c r="I18" s="1" t="b">
        <v>1</v>
      </c>
      <c r="J18" s="1">
        <v>4920</v>
      </c>
      <c r="L18" t="str">
        <f>RIGHT(G18,LEN(G18)-51)</f>
        <v>如果錯誤，提醒學生 x = h 是一條「鉛直線」，通過 (h, 0)。</v>
      </c>
      <c r="M18" s="2" t="s">
        <v>209</v>
      </c>
      <c r="N1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= h 是一條「鉛直線」，通過 (h, 0)。</v>
      </c>
    </row>
    <row r="19" spans="1:14" ht="17.25" customHeight="1" x14ac:dyDescent="0.3">
      <c r="A19" s="1" t="s">
        <v>100</v>
      </c>
      <c r="B19" s="1" t="s">
        <v>101</v>
      </c>
      <c r="C19" s="1" t="s">
        <v>102</v>
      </c>
      <c r="D19" s="1" t="s">
        <v>66</v>
      </c>
      <c r="E19" s="1" t="s">
        <v>103</v>
      </c>
      <c r="F19" s="1" t="s">
        <v>15</v>
      </c>
      <c r="G19" s="1" t="s">
        <v>104</v>
      </c>
      <c r="H19" s="1">
        <v>5</v>
      </c>
      <c r="I19" s="1" t="b">
        <v>1</v>
      </c>
      <c r="J19" s="1">
        <v>4930</v>
      </c>
      <c r="L19" t="str">
        <f t="shared" si="0"/>
        <v>如果錯誤，提醒學生兩直線的「交點」坐標 (x, y) 即為聯立方程式的唯一解。</v>
      </c>
      <c r="M19" s="2" t="s">
        <v>209</v>
      </c>
      <c r="N1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[指導]如果錯誤，提醒學生兩直線的「交點」坐標 (x, y) 即為聯立方程式的唯一解。</v>
      </c>
    </row>
    <row r="20" spans="1:14" ht="17.25" customHeight="1" x14ac:dyDescent="0.3">
      <c r="A20" s="1" t="s">
        <v>105</v>
      </c>
      <c r="B20" s="1" t="s">
        <v>106</v>
      </c>
      <c r="C20" s="1" t="s">
        <v>107</v>
      </c>
      <c r="D20" s="1" t="s">
        <v>108</v>
      </c>
      <c r="E20" s="1" t="s">
        <v>109</v>
      </c>
      <c r="F20" s="1" t="s">
        <v>15</v>
      </c>
      <c r="G20" s="1" t="s">
        <v>110</v>
      </c>
      <c r="H20" s="1">
        <v>5</v>
      </c>
      <c r="I20" s="1" t="b">
        <v>1</v>
      </c>
      <c r="J20" s="1">
        <v>4940</v>
      </c>
      <c r="L20" t="str">
        <f t="shared" si="0"/>
        <v>如果錯誤，提醒學生 3:5 的比值是 3/5 (前項除以後項)。</v>
      </c>
      <c r="M20" s="2" t="s">
        <v>209</v>
      </c>
      <c r="N2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3:5 的比值是 3/5 (前項除以後項)。</v>
      </c>
    </row>
    <row r="21" spans="1:14" ht="17.25" customHeight="1" x14ac:dyDescent="0.3">
      <c r="A21" s="1" t="s">
        <v>111</v>
      </c>
      <c r="B21" s="1" t="s">
        <v>112</v>
      </c>
      <c r="C21" s="1" t="s">
        <v>113</v>
      </c>
      <c r="D21" s="1" t="s">
        <v>108</v>
      </c>
      <c r="E21" s="1" t="s">
        <v>114</v>
      </c>
      <c r="F21" s="1" t="s">
        <v>15</v>
      </c>
      <c r="G21" s="1" t="s">
        <v>115</v>
      </c>
      <c r="H21" s="1">
        <v>5</v>
      </c>
      <c r="I21" s="1" t="b">
        <v>1</v>
      </c>
      <c r="J21" s="1">
        <v>4950</v>
      </c>
      <c r="L21" t="str">
        <f t="shared" si="0"/>
        <v>如果錯誤，提醒學生「最簡整數比」：1. 各項皆為整數 2. 各項互質。</v>
      </c>
      <c r="M21" s="2" t="s">
        <v>209</v>
      </c>
      <c r="N2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[指導]如果錯誤，提醒學生「最簡整數比」：1. 各項皆為整數 2. 各項互質。</v>
      </c>
    </row>
    <row r="22" spans="1:14" ht="17.25" customHeight="1" x14ac:dyDescent="0.3">
      <c r="A22" s="1" t="s">
        <v>116</v>
      </c>
      <c r="B22" s="1" t="s">
        <v>117</v>
      </c>
      <c r="C22" s="1" t="s">
        <v>118</v>
      </c>
      <c r="D22" s="1" t="s">
        <v>108</v>
      </c>
      <c r="E22" s="1" t="s">
        <v>119</v>
      </c>
      <c r="F22" s="1" t="s">
        <v>15</v>
      </c>
      <c r="G22" s="1" t="s">
        <v>120</v>
      </c>
      <c r="H22" s="1">
        <v>5</v>
      </c>
      <c r="I22" s="1" t="b">
        <v>1</v>
      </c>
      <c r="J22" s="1">
        <v>4960</v>
      </c>
      <c r="L22" t="str">
        <f t="shared" si="0"/>
        <v>如果錯誤，提醒學生 x:3 = 4:5 ⇒ 5x = 3×4 ⇒ 5x = 12 ⇒ x = 12/5。</v>
      </c>
      <c r="M22" s="2" t="s">
        <v>209</v>
      </c>
      <c r="N22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x:3 = 4:5 ⇒ 5x = 3×4 ⇒ 5x = 12 ⇒ x = 12/5。</v>
      </c>
    </row>
    <row r="23" spans="1:14" ht="17.25" customHeight="1" x14ac:dyDescent="0.3">
      <c r="A23" s="1" t="s">
        <v>121</v>
      </c>
      <c r="B23" s="1" t="s">
        <v>122</v>
      </c>
      <c r="C23" s="1" t="s">
        <v>123</v>
      </c>
      <c r="D23" s="1" t="s">
        <v>108</v>
      </c>
      <c r="E23" s="1" t="s">
        <v>124</v>
      </c>
      <c r="F23" s="1" t="s">
        <v>15</v>
      </c>
      <c r="G23" s="1" t="s">
        <v>125</v>
      </c>
      <c r="H23" s="1">
        <v>5</v>
      </c>
      <c r="I23" s="1" t="b">
        <v>1</v>
      </c>
      <c r="J23" s="1">
        <v>4970</v>
      </c>
      <c r="L23" t="str">
        <f t="shared" si="0"/>
        <v>如果錯誤，引導學生若 x:y = 3:2，應假設 x = 3r, y = 2r，再代入其他條件解出 r。</v>
      </c>
      <c r="M23" s="2" t="s">
        <v>209</v>
      </c>
      <c r="N23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[指導]如果錯誤，引導學生若 x:y = 3:2，應假設 x = 3r, y = 2r，再代入其他條件解出 r。</v>
      </c>
    </row>
    <row r="24" spans="1:14" ht="17.25" customHeight="1" x14ac:dyDescent="0.3">
      <c r="A24" s="1" t="s">
        <v>126</v>
      </c>
      <c r="B24" s="1" t="s">
        <v>127</v>
      </c>
      <c r="C24" s="1" t="s">
        <v>128</v>
      </c>
      <c r="D24" s="1" t="s">
        <v>108</v>
      </c>
      <c r="E24" s="1" t="s">
        <v>129</v>
      </c>
      <c r="F24" s="1" t="s">
        <v>15</v>
      </c>
      <c r="G24" s="1" t="s">
        <v>130</v>
      </c>
      <c r="H24" s="1">
        <v>5</v>
      </c>
      <c r="I24" s="1" t="b">
        <v>1</v>
      </c>
      <c r="J24" s="1">
        <v>4980</v>
      </c>
      <c r="L24" t="str">
        <f t="shared" si="0"/>
        <v>如果錯誤，提醒學生「正比」代表 x 變 2 倍時，y 也變 2 倍，且其關係式為 y = kx。</v>
      </c>
      <c r="M24" s="2" t="s">
        <v>209</v>
      </c>
      <c r="N2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[指導]如果錯誤，提醒學生「正比」代表 x 變 2 倍時，y 也變 2 倍，且其關係式為 y = kx。</v>
      </c>
    </row>
    <row r="25" spans="1:14" ht="17.25" customHeight="1" x14ac:dyDescent="0.3">
      <c r="A25" s="1" t="s">
        <v>131</v>
      </c>
      <c r="B25" s="1" t="s">
        <v>132</v>
      </c>
      <c r="C25" s="1" t="s">
        <v>133</v>
      </c>
      <c r="D25" s="1" t="s">
        <v>108</v>
      </c>
      <c r="E25" s="1" t="s">
        <v>134</v>
      </c>
      <c r="F25" s="1" t="s">
        <v>15</v>
      </c>
      <c r="G25" s="1" t="s">
        <v>135</v>
      </c>
      <c r="H25" s="1">
        <v>5</v>
      </c>
      <c r="I25" s="1" t="b">
        <v>1</v>
      </c>
      <c r="J25" s="1">
        <v>4990</v>
      </c>
      <c r="L25" t="str">
        <f t="shared" si="0"/>
        <v>如果錯誤，提醒學生「反比」代表 x 變 2 倍時，y 變 1/2 倍，且其關係式為 xy = k。</v>
      </c>
      <c r="M25" s="2" t="s">
        <v>209</v>
      </c>
      <c r="N2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[指導]如果錯誤，提醒學生「反比」代表 x 變 2 倍時，y 變 1/2 倍，且其關係式為 xy = k。</v>
      </c>
    </row>
    <row r="26" spans="1:14" ht="17.25" customHeight="1" x14ac:dyDescent="0.3">
      <c r="A26" s="1" t="s">
        <v>136</v>
      </c>
      <c r="B26" s="1" t="s">
        <v>137</v>
      </c>
      <c r="C26" s="1" t="s">
        <v>138</v>
      </c>
      <c r="D26" s="1" t="s">
        <v>139</v>
      </c>
      <c r="E26" s="1" t="s">
        <v>140</v>
      </c>
      <c r="F26" s="1" t="s">
        <v>15</v>
      </c>
      <c r="G26" s="1" t="s">
        <v>141</v>
      </c>
      <c r="H26" s="1">
        <v>5</v>
      </c>
      <c r="I26" s="1" t="b">
        <v>1</v>
      </c>
      <c r="J26" s="1">
        <v>5000</v>
      </c>
      <c r="L26" t="str">
        <f t="shared" si="0"/>
        <v>如果錯誤，提醒學生「x 不小於 5」代表「x ≥ 5」；「x 不大於 5」代表「x ≤ 5」。</v>
      </c>
      <c r="M26" s="2" t="s">
        <v>209</v>
      </c>
      <c r="N2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[指導]如果錯誤，提醒學生「x 不小於 5」代表「x ≥ 5」；「x 不大於 5」代表「x ≤ 5」。</v>
      </c>
    </row>
    <row r="27" spans="1:14" ht="17.25" customHeight="1" x14ac:dyDescent="0.3">
      <c r="A27" s="1" t="s">
        <v>142</v>
      </c>
      <c r="B27" s="1" t="s">
        <v>143</v>
      </c>
      <c r="C27" s="1" t="s">
        <v>144</v>
      </c>
      <c r="D27" s="1" t="s">
        <v>139</v>
      </c>
      <c r="E27" s="1" t="s">
        <v>145</v>
      </c>
      <c r="F27" s="1" t="s">
        <v>15</v>
      </c>
      <c r="G27" s="1" t="s">
        <v>146</v>
      </c>
      <c r="H27" s="1">
        <v>5</v>
      </c>
      <c r="I27" s="1" t="b">
        <v>1</v>
      </c>
      <c r="J27" s="1">
        <v>5010</v>
      </c>
      <c r="L27" t="str">
        <f t="shared" si="0"/>
        <v>如果錯誤，提醒學生「超過 100 元」是 &gt; 100；「不超過 100 元」是 ≤ 100。</v>
      </c>
      <c r="M27" s="2" t="s">
        <v>209</v>
      </c>
      <c r="N2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[指導]如果錯誤，提醒學生「超過 100 元」是 &gt; 100；「不超過 100 元」是 ≤ 100。</v>
      </c>
    </row>
    <row r="28" spans="1:14" ht="17.25" customHeight="1" x14ac:dyDescent="0.3">
      <c r="A28" s="1" t="s">
        <v>147</v>
      </c>
      <c r="B28" s="1" t="s">
        <v>148</v>
      </c>
      <c r="C28" s="1" t="s">
        <v>149</v>
      </c>
      <c r="D28" s="1" t="s">
        <v>139</v>
      </c>
      <c r="E28" s="1" t="s">
        <v>150</v>
      </c>
      <c r="F28" s="1" t="s">
        <v>15</v>
      </c>
      <c r="G28" s="1" t="s">
        <v>151</v>
      </c>
      <c r="H28" s="1">
        <v>5</v>
      </c>
      <c r="I28" s="1" t="b">
        <v>1</v>
      </c>
      <c r="J28" s="1">
        <v>5020</v>
      </c>
      <c r="L28" t="str">
        <f t="shared" si="0"/>
        <v>如果錯誤，引導學生將 x 值代入不等式，檢查是否「滿足」不等號。</v>
      </c>
      <c r="M28" s="2" t="s">
        <v>209</v>
      </c>
      <c r="N2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 x 值代入不等式，檢查是否「滿足」不等號。</v>
      </c>
    </row>
    <row r="29" spans="1:14" ht="17.25" customHeight="1" x14ac:dyDescent="0.3">
      <c r="A29" s="1" t="s">
        <v>152</v>
      </c>
      <c r="B29" s="1" t="s">
        <v>153</v>
      </c>
      <c r="C29" s="1" t="s">
        <v>154</v>
      </c>
      <c r="D29" s="1" t="s">
        <v>139</v>
      </c>
      <c r="E29" s="1" t="s">
        <v>155</v>
      </c>
      <c r="F29" s="1" t="s">
        <v>68</v>
      </c>
      <c r="G29" s="1" t="s">
        <v>156</v>
      </c>
      <c r="H29" s="1">
        <v>5</v>
      </c>
      <c r="I29" s="1" t="b">
        <v>1</v>
      </c>
      <c r="J29" s="1">
        <v>5030</v>
      </c>
      <c r="L29" t="str">
        <f>RIGHT(G29,LEN(G29)-51)</f>
        <v>如果錯誤，提醒學生 &gt; 或 &lt; 是「空心圓」（不包含端點）；≥ 或 ≤ 是「實心圓」（包含端點）。</v>
      </c>
      <c r="M29" s="2" t="s">
        <v>209</v>
      </c>
      <c r="N2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&gt; 或 &lt; 是「空心圓」（不包含端點）；≥ 或 ≤ 是「實心圓」（包含端點）。</v>
      </c>
    </row>
    <row r="30" spans="1:14" ht="17.25" customHeight="1" x14ac:dyDescent="0.3">
      <c r="A30" s="1" t="s">
        <v>157</v>
      </c>
      <c r="B30" s="1" t="s">
        <v>158</v>
      </c>
      <c r="C30" s="1" t="s">
        <v>159</v>
      </c>
      <c r="D30" s="1" t="s">
        <v>139</v>
      </c>
      <c r="E30" s="1" t="s">
        <v>160</v>
      </c>
      <c r="F30" s="1" t="s">
        <v>15</v>
      </c>
      <c r="G30" s="1" t="s">
        <v>161</v>
      </c>
      <c r="H30" s="1">
        <v>5</v>
      </c>
      <c r="I30" s="1" t="b">
        <v>1</v>
      </c>
      <c r="J30" s="1">
        <v>5040</v>
      </c>
      <c r="L30" t="str">
        <f t="shared" si="0"/>
        <v>如果錯誤，提醒學生 x + 3 &gt; 5 ⇒ x &gt; 5 - 3，加減移項時，不等號「方向不變」。</v>
      </c>
      <c r="M30" s="2" t="s">
        <v>209</v>
      </c>
      <c r="N3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x + 3 &gt; 5 ⇒ x &gt; 5 - 3，加減移項時，不等號「方向不變」。</v>
      </c>
    </row>
    <row r="31" spans="1:14" ht="17.25" customHeight="1" x14ac:dyDescent="0.3">
      <c r="A31" s="1" t="s">
        <v>162</v>
      </c>
      <c r="B31" s="1" t="s">
        <v>163</v>
      </c>
      <c r="C31" s="1" t="s">
        <v>164</v>
      </c>
      <c r="D31" s="1" t="s">
        <v>139</v>
      </c>
      <c r="E31" s="1" t="s">
        <v>165</v>
      </c>
      <c r="F31" s="1" t="s">
        <v>15</v>
      </c>
      <c r="G31" s="1" t="s">
        <v>166</v>
      </c>
      <c r="H31" s="1">
        <v>5</v>
      </c>
      <c r="I31" s="1" t="b">
        <v>1</v>
      </c>
      <c r="J31" s="1">
        <v>5050</v>
      </c>
      <c r="L31" t="str">
        <f t="shared" si="0"/>
        <v>如果錯誤，提醒學生 3x &gt; 6 ⇒ x &gt; 6 ÷ 3，同乘除「正數」時，不等號「方向不變」。</v>
      </c>
      <c r="M31" s="2" t="s">
        <v>209</v>
      </c>
      <c r="N3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3x &gt; 6 ⇒ x &gt; 6 ÷ 3，同乘除「正數」時，不等號「方向不變」。</v>
      </c>
    </row>
    <row r="32" spans="1:14" ht="17.25" customHeight="1" x14ac:dyDescent="0.3">
      <c r="A32" s="1" t="s">
        <v>167</v>
      </c>
      <c r="B32" s="1" t="s">
        <v>168</v>
      </c>
      <c r="C32" s="1" t="s">
        <v>169</v>
      </c>
      <c r="D32" s="1" t="s">
        <v>139</v>
      </c>
      <c r="E32" s="1" t="s">
        <v>170</v>
      </c>
      <c r="F32" s="1" t="s">
        <v>15</v>
      </c>
      <c r="G32" s="1" t="s">
        <v>171</v>
      </c>
      <c r="H32" s="1">
        <v>5</v>
      </c>
      <c r="I32" s="1" t="b">
        <v>1</v>
      </c>
      <c r="J32" s="1">
        <v>5060</v>
      </c>
      <c r="L32" t="str">
        <f t="shared" si="0"/>
        <v>如果錯誤，提醒學生「同乘除以一個負數時，不等號方向要改變」。例如 -2x &gt; 6 ⇒ x &lt; 6 ÷ (-2) ⇒ x &lt; -3。</v>
      </c>
      <c r="M32" s="2" t="s">
        <v>209</v>
      </c>
      <c r="N32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[指導]如果錯誤，提醒學生「同乘除以一個負數時，不等號方向要改變」。例如 -2x &gt; 6 ⇒ x &lt; 6 ÷ (-2) ⇒ x &lt; -3。</v>
      </c>
    </row>
    <row r="33" spans="1:14" ht="17.25" customHeight="1" x14ac:dyDescent="0.3">
      <c r="A33" s="1" t="s">
        <v>172</v>
      </c>
      <c r="B33" s="1" t="s">
        <v>173</v>
      </c>
      <c r="C33" s="1" t="s">
        <v>174</v>
      </c>
      <c r="D33" s="1" t="s">
        <v>139</v>
      </c>
      <c r="E33" s="1" t="s">
        <v>175</v>
      </c>
      <c r="F33" s="1" t="s">
        <v>15</v>
      </c>
      <c r="G33" s="1" t="s">
        <v>176</v>
      </c>
      <c r="H33" s="1">
        <v>5</v>
      </c>
      <c r="I33" s="1" t="b">
        <v>1</v>
      </c>
      <c r="J33" s="1">
        <v>5070</v>
      </c>
      <c r="L33" t="str">
        <f t="shared" si="0"/>
        <v>如果錯誤，引導學生 1. 先去括號/去分母。 2. 移項（x 移一邊，常數移一邊）。 3. 檢查最後一步除法是否因「負數」而改變方向。</v>
      </c>
      <c r="M33" s="2" t="s">
        <v>209</v>
      </c>
      <c r="N33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 1. 先去括號/去分母。 2. 移項（x 移一邊，常數移一邊）。 3. 檢查最後一步除法是否因「負數」而改變方向。</v>
      </c>
    </row>
    <row r="34" spans="1:14" ht="17.25" customHeight="1" x14ac:dyDescent="0.3">
      <c r="A34" s="1" t="s">
        <v>177</v>
      </c>
      <c r="B34" s="1" t="s">
        <v>178</v>
      </c>
      <c r="C34" s="1" t="s">
        <v>179</v>
      </c>
      <c r="D34" s="1" t="s">
        <v>180</v>
      </c>
      <c r="E34" s="1" t="s">
        <v>181</v>
      </c>
      <c r="F34" s="1" t="s">
        <v>68</v>
      </c>
      <c r="G34" s="1" t="s">
        <v>182</v>
      </c>
      <c r="H34" s="1">
        <v>5</v>
      </c>
      <c r="I34" s="1" t="b">
        <v>1</v>
      </c>
      <c r="J34" s="1">
        <v>5080</v>
      </c>
      <c r="L34" t="str">
        <f>RIGHT(G34,LEN(G34)-51)</f>
        <v>如果錯誤，提醒學生「折線圖」要標示「組中點」並連接，且頭尾需「各補一組」使其接地。</v>
      </c>
      <c r="M34" s="2" t="s">
        <v>209</v>
      </c>
      <c r="N3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[指導]如果錯誤，提醒學生「折線圖」要標示「組中點」並連接，且頭尾需「各補一組」使其接地。</v>
      </c>
    </row>
    <row r="35" spans="1:14" ht="17.25" customHeight="1" x14ac:dyDescent="0.3">
      <c r="A35" s="1" t="s">
        <v>183</v>
      </c>
      <c r="B35" s="1" t="s">
        <v>184</v>
      </c>
      <c r="C35" s="1" t="s">
        <v>185</v>
      </c>
      <c r="D35" s="1" t="s">
        <v>186</v>
      </c>
      <c r="E35" s="1" t="s">
        <v>187</v>
      </c>
      <c r="F35" s="1" t="s">
        <v>15</v>
      </c>
      <c r="G35" s="1" t="s">
        <v>188</v>
      </c>
      <c r="H35" s="1">
        <v>5</v>
      </c>
      <c r="I35" s="1" t="b">
        <v>1</v>
      </c>
      <c r="J35" s="1">
        <v>5090</v>
      </c>
      <c r="L35" t="str">
        <f t="shared" si="0"/>
        <v>如果錯誤，提醒學生「線段 AB」 (有端點) 與「直線 AB」 (無限延伸) 的不同。</v>
      </c>
      <c r="M35" s="2" t="s">
        <v>209</v>
      </c>
      <c r="N3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[指導]如果錯誤，提醒學生「線段 AB」 (有端點) 與「直線 AB」 (無限延伸) 的不同。</v>
      </c>
    </row>
    <row r="36" spans="1:14" ht="17.25" customHeight="1" x14ac:dyDescent="0.3">
      <c r="A36" s="1" t="s">
        <v>189</v>
      </c>
      <c r="B36" s="1" t="s">
        <v>190</v>
      </c>
      <c r="C36" s="1" t="s">
        <v>191</v>
      </c>
      <c r="D36" s="1" t="s">
        <v>186</v>
      </c>
      <c r="E36" s="1" t="s">
        <v>192</v>
      </c>
      <c r="F36" s="1" t="s">
        <v>15</v>
      </c>
      <c r="G36" s="1" t="s">
        <v>193</v>
      </c>
      <c r="H36" s="1">
        <v>5</v>
      </c>
      <c r="I36" s="1" t="b">
        <v>1</v>
      </c>
      <c r="J36" s="1">
        <v>5100</v>
      </c>
      <c r="L36" t="str">
        <f t="shared" si="0"/>
        <v>如果錯誤，提醒學生「正多邊形」需要「等邊」且「等角」。</v>
      </c>
      <c r="M36" s="2" t="s">
        <v>209</v>
      </c>
      <c r="N3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[指導]如果錯誤，提醒學生「正多邊形」需要「等邊」且「等角」。</v>
      </c>
    </row>
    <row r="37" spans="1:14" ht="17.25" customHeight="1" x14ac:dyDescent="0.3">
      <c r="A37" s="1" t="s">
        <v>194</v>
      </c>
      <c r="B37" s="1" t="s">
        <v>195</v>
      </c>
      <c r="C37" s="1" t="s">
        <v>196</v>
      </c>
      <c r="D37" s="1" t="s">
        <v>186</v>
      </c>
      <c r="E37" s="1" t="s">
        <v>197</v>
      </c>
      <c r="F37" s="1" t="s">
        <v>15</v>
      </c>
      <c r="G37" s="1" t="s">
        <v>198</v>
      </c>
      <c r="H37" s="1">
        <v>5</v>
      </c>
      <c r="I37" s="1" t="b">
        <v>1</v>
      </c>
      <c r="J37" s="1">
        <v>5110</v>
      </c>
      <c r="L37" t="str">
        <f t="shared" si="0"/>
        <v>如果錯誤，提醒學生「點到直線的距離」是指「垂直距離」（最短）。</v>
      </c>
      <c r="M37" s="2" t="s">
        <v>209</v>
      </c>
      <c r="N3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[指導]如果錯誤，提醒學生「點到直線的距離」是指「垂直距離」（最短）。</v>
      </c>
    </row>
    <row r="38" spans="1:14" ht="17.25" customHeight="1" x14ac:dyDescent="0.3">
      <c r="A38" s="1" t="s">
        <v>199</v>
      </c>
      <c r="B38" s="1" t="s">
        <v>200</v>
      </c>
      <c r="C38" s="1" t="s">
        <v>201</v>
      </c>
      <c r="D38" s="1" t="s">
        <v>186</v>
      </c>
      <c r="E38" s="1" t="s">
        <v>202</v>
      </c>
      <c r="F38" s="1" t="s">
        <v>68</v>
      </c>
      <c r="G38" s="1" t="s">
        <v>203</v>
      </c>
      <c r="H38" s="1">
        <v>5</v>
      </c>
      <c r="I38" s="1" t="b">
        <v>1</v>
      </c>
      <c r="J38" s="1">
        <v>5120</v>
      </c>
      <c r="L38" t="str">
        <f>RIGHT(G38,LEN(G38)-51)</f>
        <v>果錯誤，提醒學生「線對稱圖形」沿「對稱軸」摺疊後，兩側會「完全重合」。</v>
      </c>
      <c r="M38" s="2" t="s">
        <v>209</v>
      </c>
      <c r="N3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[指導]果錯誤，提醒學生「線對稱圖形」沿「對稱軸」摺疊後，兩側會「完全重合」。</v>
      </c>
    </row>
    <row r="39" spans="1:14" ht="17.25" customHeight="1" x14ac:dyDescent="0.3">
      <c r="A39" s="1" t="s">
        <v>204</v>
      </c>
      <c r="B39" s="1" t="s">
        <v>205</v>
      </c>
      <c r="C39" s="1" t="s">
        <v>206</v>
      </c>
      <c r="D39" s="1" t="s">
        <v>186</v>
      </c>
      <c r="E39" s="1" t="s">
        <v>207</v>
      </c>
      <c r="F39" s="1" t="s">
        <v>68</v>
      </c>
      <c r="G39" s="1" t="s">
        <v>208</v>
      </c>
      <c r="H39" s="1">
        <v>5</v>
      </c>
      <c r="I39" s="1" t="b">
        <v>1</v>
      </c>
      <c r="J39" s="1">
        <v>5130</v>
      </c>
      <c r="L39" t="str">
        <f>RIGHT(G39,LEN(G39)-47)</f>
        <v>如果錯誤，引導學生想像自己站在「正前方」、「正上方」或「正右方」看積木，所看到的 2D 形狀。</v>
      </c>
      <c r="M39" s="2" t="s">
        <v>209</v>
      </c>
      <c r="N3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[指導]如果錯誤，引導學生想像自己站在「正前方」、「正上方」或「正右方」看積木，所看到的 2D 形狀。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加上下半部分 再重新一起輸出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2025-11-08T04:22:08Z</dcterms:modified>
</cp:coreProperties>
</file>