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data source_課程資料\國中\skills_info\"/>
    </mc:Choice>
  </mc:AlternateContent>
  <bookViews>
    <workbookView xWindow="0" yWindow="0" windowWidth="32914" windowHeight="11083"/>
  </bookViews>
  <sheets>
    <sheet name="這些是下半部分" sheetId="1" r:id="rId1"/>
  </sheets>
  <calcPr calcId="162913"/>
</workbook>
</file>

<file path=xl/calcChain.xml><?xml version="1.0" encoding="utf-8"?>
<calcChain xmlns="http://schemas.openxmlformats.org/spreadsheetml/2006/main">
  <c r="L3" i="1" l="1"/>
  <c r="N3" i="1" s="1"/>
  <c r="L4" i="1"/>
  <c r="N4" i="1" s="1"/>
  <c r="L5" i="1"/>
  <c r="N5" i="1"/>
  <c r="L6" i="1"/>
  <c r="N6" i="1"/>
  <c r="L7" i="1"/>
  <c r="N7" i="1" s="1"/>
  <c r="L8" i="1"/>
  <c r="N8" i="1" s="1"/>
  <c r="L9" i="1"/>
  <c r="N9" i="1" s="1"/>
  <c r="L10" i="1"/>
  <c r="N10" i="1" s="1"/>
  <c r="L11" i="1"/>
  <c r="N11" i="1"/>
  <c r="L12" i="1"/>
  <c r="N12" i="1"/>
  <c r="L13" i="1"/>
  <c r="N13" i="1"/>
  <c r="L14" i="1"/>
  <c r="N14" i="1"/>
  <c r="L15" i="1"/>
  <c r="N15" i="1" s="1"/>
  <c r="L16" i="1"/>
  <c r="N16" i="1" s="1"/>
  <c r="L17" i="1"/>
  <c r="N17" i="1"/>
  <c r="L18" i="1"/>
  <c r="N18" i="1"/>
  <c r="L19" i="1"/>
  <c r="N19" i="1"/>
  <c r="L20" i="1"/>
  <c r="N20" i="1"/>
  <c r="L21" i="1"/>
  <c r="N21" i="1" s="1"/>
  <c r="L22" i="1"/>
  <c r="N22" i="1" s="1"/>
  <c r="L23" i="1"/>
  <c r="N23" i="1"/>
  <c r="L24" i="1"/>
  <c r="N24" i="1"/>
  <c r="L25" i="1"/>
  <c r="N25" i="1"/>
  <c r="L26" i="1"/>
  <c r="N26" i="1" s="1"/>
  <c r="L27" i="1"/>
  <c r="N27" i="1" s="1"/>
  <c r="L28" i="1"/>
  <c r="N28" i="1" s="1"/>
  <c r="L29" i="1"/>
  <c r="N29" i="1"/>
  <c r="L30" i="1"/>
  <c r="N30" i="1"/>
  <c r="L31" i="1"/>
  <c r="N31" i="1"/>
  <c r="L2" i="1"/>
  <c r="N2" i="1" s="1"/>
</calcChain>
</file>

<file path=xl/sharedStrings.xml><?xml version="1.0" encoding="utf-8"?>
<sst xmlns="http://schemas.openxmlformats.org/spreadsheetml/2006/main" count="250" uniqueCount="164">
  <si>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</si>
  <si>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</si>
  <si>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</si>
  <si>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</si>
  <si>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</si>
  <si>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</si>
  <si>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</si>
  <si>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</si>
  <si>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</si>
  <si>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</si>
  <si>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jh_ratio_chained_def</t>
  </si>
  <si>
    <t>Chained Ratio Definition</t>
  </si>
  <si>
    <t>認識連比</t>
  </si>
  <si>
    <t>比例</t>
  </si>
  <si>
    <t>熟練認識 x:y:z 形式的連比。</t>
  </si>
  <si>
    <t>text</t>
  </si>
  <si>
    <t>分析學生答案：{user_answer}，正確答案：{correct_answer}。如果錯誤，提醒學生 x:y:z 代表 x, y, z 三個數的連續比例。</t>
  </si>
  <si>
    <t>jh_ratio_chained_combine</t>
  </si>
  <si>
    <t>Combine Chained Ratios</t>
  </si>
  <si>
    <t>合併連比</t>
  </si>
  <si>
    <t>熟練將 x:y = a:b 和 y:z = b:c 合併為 x:y:z = a:b:c。</t>
  </si>
  <si>
    <t>分析學生答案：{user_answer}，正確答案：{correct_answer}。如果錯誤，引導學生利用「共同項 y」，將 y 的 b 值化為相同（最小公倍數），再合併連比。</t>
  </si>
  <si>
    <t>jh_ratio_chained_word_problem</t>
  </si>
  <si>
    <t>Chained Ratio Word Problem</t>
  </si>
  <si>
    <t>連比例應用問題 (設 r)</t>
  </si>
  <si>
    <t>熟練應用 x:y:z = a:b:c ⇒ 設 x = ar, y = br, z = cr (r≠0) 求解應用問題。</t>
  </si>
  <si>
    <t>分析學生答案：{user_answer}，正確答案：{correct_answer}。如果錯誤，引導學生若 x:y:z = 2:3:5，應假設 x = 2r, y = 3r, z = 5r，再代入其他條件解出 r。</t>
  </si>
  <si>
    <t>jh_geo_parallel_lines_proportional_segments</t>
  </si>
  <si>
    <t>Parallel Lines Proportional Segments</t>
  </si>
  <si>
    <t>平行線截比例線段</t>
  </si>
  <si>
    <t>幾何</t>
  </si>
  <si>
    <t>熟練應用平行線截比例線段性質 (L₁//L₂//L₃ ⇒ AB:BC = DE:EF)。</t>
  </si>
  <si>
    <t>分析學生答案：{user_answer}，正確答案：{correct_answer}。如果錯誤，提醒學生「平行線截比例線段」性質，檢查對應線段是否正確。</t>
  </si>
  <si>
    <t>jh_geo_triangle_midsegment_theorem</t>
  </si>
  <si>
    <t>Triangle Midsegment Theorem</t>
  </si>
  <si>
    <t>三角形兩邊中點連線定理</t>
  </si>
  <si>
    <t>熟練應用三角形兩邊中點連線 D, E，則 DE // BC 且 DE = ½ BC。</t>
  </si>
  <si>
    <t>分析學生答案：{user_answer}，正確答案：{correct_answer}。如果錯誤，提醒學生「中點連線」會「平行底邊、且長度為底邊的一半」。</t>
  </si>
  <si>
    <t>jh_geo_similarity_scaling_def</t>
  </si>
  <si>
    <t>Similarity &amp; Scaling Definition</t>
  </si>
  <si>
    <t>相似形與縮放</t>
  </si>
  <si>
    <t>熟練相似多邊形的定義（對應角相等、對應邊成比例）。</t>
  </si>
  <si>
    <t>分析學生答案：{user_answer}，正確答案：{correct_answer}。如果錯誤，提醒學生「相似」必須同時滿足 1. 對應角相等 2. 對應邊成比例。</t>
  </si>
  <si>
    <t>jh_geo_similarity_test_aa</t>
  </si>
  <si>
    <t>AA Similarity Test</t>
  </si>
  <si>
    <t>相似三角形判別 (AA)</t>
  </si>
  <si>
    <t>熟練應用 AA 相似性質判斷三角形是否相似。</t>
  </si>
  <si>
    <t>分析學生答案：{user_answer}，正確答案：{correct_answer}。如果錯誤，提醒學生只要有「兩組」對應角相等，第三組角必相等，三角形即相似。</t>
  </si>
  <si>
    <t>jh_geo_similarity_test_sss</t>
  </si>
  <si>
    <t>SSS Similarity Test</t>
  </si>
  <si>
    <t>相似三角形判別 (SSS)</t>
  </si>
  <si>
    <t>熟練應用 SSS 相似性質判斷三角形是否相似。</t>
  </si>
  <si>
    <t>分析學生答案：{user_answer}，正確答案：{correct_answer}。如果錯誤，提醒學生 SSS 相似：需「三組對應邊」皆「成比例」（例如 3:4:5 和 6:8:10）。</t>
  </si>
  <si>
    <t>jh_geo_similarity_test_sas</t>
  </si>
  <si>
    <t>SAS Similarity Test</t>
  </si>
  <si>
    <t>相似三角形判別 (SAS)</t>
  </si>
  <si>
    <t>熟練應用 SAS 相似性質判斷三角形是否相似。</t>
  </si>
  <si>
    <t>分析學生答案：{user_answer}，正確答案：{correct_answer}。如果錯誤，提醒學生 SAS 相似：需「兩組對應邊」成比例，且「夾角」必須相等。</t>
  </si>
  <si>
    <t>jh_geo_similarity_application_measurement</t>
  </si>
  <si>
    <t>Similarity Application (Measurement)</t>
  </si>
  <si>
    <t>相似形應用 (簡易測量)</t>
  </si>
  <si>
    <t>熟練利用相似三角形（AA 相似）進行簡易測量（如測樹高、塔高）。</t>
  </si>
  <si>
    <t>分析學生答案：{user_answer}，正確答案：{correct_answer}。如果錯誤，引導學生畫出兩個相似三角形（例如人與影、樹與影），並利用「對應邊成比例」列式求解。</t>
  </si>
  <si>
    <t>jh_geo_similarity_application_area_ratio</t>
  </si>
  <si>
    <t>Similarity Area Ratio</t>
  </si>
  <si>
    <t>相似三角形 (面積比)</t>
  </si>
  <si>
    <t>熟練應用相似三角形的面積比 = (對應邊長)² 比。</t>
  </si>
  <si>
    <t>分析學生答案：{user_answer}，正確答案：{correct_answer}。如果錯誤，提醒學生若邊長比為 a:b，則面積比為 a²:b²。</t>
  </si>
  <si>
    <t>jh_circle_def_parts</t>
  </si>
  <si>
    <t>Circle Definition (Parts)</t>
  </si>
  <si>
    <t>圓的定義 (圓心/半徑/弦/弧)</t>
  </si>
  <si>
    <t>熟練辨識圓心、半徑、直徑、弦、弧、弓形、扇形。</t>
  </si>
  <si>
    <t>分析學生答案：{user_answer}，正確答案：{correct_answer}。如果錯誤，提醒學生「弦」是圓上兩點的連線，「弓形」是弦與弧所圍。</t>
  </si>
  <si>
    <t>jh_circle_point_relation</t>
  </si>
  <si>
    <t>Point-Circle Relation</t>
  </si>
  <si>
    <t>點與圓的關係</t>
  </si>
  <si>
    <t>熟練利用「點到圓心距離 (d)」與「半徑 (r)」判斷點在圓內 (d&lt;r)、圓上 (d=r) 或圓外 (d&gt;r)。</t>
  </si>
  <si>
    <t>分析學生答案：{user_answer}，正確答案：{correct_answer}。如果錯誤，引導學生計算「點 P 到圓心 O 的距離 d」，並與「半徑 r」比較。</t>
  </si>
  <si>
    <t>jh_circle_line_relation</t>
  </si>
  <si>
    <t>Line-Circle Relation</t>
  </si>
  <si>
    <t>直線與圓的關係</t>
  </si>
  <si>
    <t>熟練利用「圓心到直線距離 (d)」與「半徑 (r)」判斷直線與圓的關係（相交兩點 d&lt;r, 相切 d=r, 不相交 d&gt;r）。</t>
  </si>
  <si>
    <t>分析學生答案：{user_answer}，正確答案：{correct_answer}。如果錯誤，引導學生計算「圓心 O 到直線 L 的距離 d」，並與「半徑 r」比較。</t>
  </si>
  <si>
    <t>jh_circle_tangent_property</t>
  </si>
  <si>
    <t>Tangent Property</t>
  </si>
  <si>
    <t>切線性質</t>
  </si>
  <si>
    <t>熟練應用「切線 ⊥ 過切點的半徑」的性質。</t>
  </si>
  <si>
    <t>分析學生答案：{user_answer}，正確答案：{correct_answer}。如果錯誤，提醒學生「切點」與「圓心」的連線（半徑）必定「垂直」於該切線（=90°）。</t>
  </si>
  <si>
    <t>jh_circle_chord_property</t>
  </si>
  <si>
    <t>Chord &amp; Sagitta Property</t>
  </si>
  <si>
    <t>弦與弦心距</t>
  </si>
  <si>
    <t>熟練應用弦心距（圓心到弦的距離）「垂直且平分」此弦的性質。</t>
  </si>
  <si>
    <t>分析學生答案：{user_answer}，正確答案：{correct_answer}。如果錯誤，提醒學生「弦心距」必定「垂直平分」弦。可利用「畢氏定理」求解半徑、弦心距、半弦長。</t>
  </si>
  <si>
    <t>jh_circle_equal_chords_property</t>
  </si>
  <si>
    <t>Equal Chords Property</t>
  </si>
  <si>
    <t>等弦與等弦心距</t>
  </si>
  <si>
    <t>熟練應用「等弦對等弦心距」且「等弦心距對等弦」的性質。</t>
  </si>
  <si>
    <t>分析學生答案：{user_answer}，正確答案：{correct_answer}。如果錯誤，提醒學生在同一個圓中，「弦越長，弦心距越短」。若弦等長，則弦心距必等長。</t>
  </si>
  <si>
    <t>jh_circle_central_angle_arc</t>
  </si>
  <si>
    <t>Central Angle &amp; Arc</t>
  </si>
  <si>
    <t>圓心角與弧的度數</t>
  </si>
  <si>
    <t>熟練應用「圓心角度數 = 對應弧度數」，並能計算扇形弧長與面積。</t>
  </si>
  <si>
    <t>分析學生答案：{user_answer}，正確答案：{correct_answer}。如果錯誤，提醒學生「圓心角」幾度，「對應的弧」就是幾度。弧長 = (θ/360)×2πr。</t>
  </si>
  <si>
    <t>jh_circle_inscribed_angle_arc</t>
  </si>
  <si>
    <t>Inscribed Angle</t>
  </si>
  <si>
    <t>圓周角</t>
  </si>
  <si>
    <t>熟練應用「圓周角度數 = ½ × 對應弧度數」。</t>
  </si>
  <si>
    <t>分析學生答案：{user_answer}，正確答案：{correct_answer}。如果錯誤，提醒學生「圓周角」的度數是「圓心角」的一半（= ½ × 對應弧度數）。</t>
  </si>
  <si>
    <t>jh_circle_inscribed_angle_diameter</t>
  </si>
  <si>
    <t>Inscribed Angle (Diameter)</t>
  </si>
  <si>
    <t>直徑所對圓周角</t>
  </si>
  <si>
    <t>熟練應用「半圓」或「直徑」所對的圓周角恆為 90°。</t>
  </si>
  <si>
    <t>分析學生答案：{user_answer}，正確答案：{correct_answer}。如果錯誤，提醒學生只要看到「直徑」是三角形的一邊，則直徑所對的「圓周角」必為 90°。</t>
  </si>
  <si>
    <t>jh_circle_inscribed_quadrilateral</t>
  </si>
  <si>
    <t>Inscribed Quadrilateral</t>
  </si>
  <si>
    <t>圓內接四邊形</t>
  </si>
  <si>
    <t>熟練應用圓內接四邊形的「對角互補」（對角相加 = 180°）。</t>
  </si>
  <si>
    <t>分析學生答案：{user_answer}，正確答案：{correct_answer}。如果錯誤，提醒學生「圓內接四邊形」的「對角」相加必定是 180°。</t>
  </si>
  <si>
    <t>jh_circle_tangent_chord_angle</t>
  </si>
  <si>
    <t>Tangent-Chord Angle</t>
  </si>
  <si>
    <t>弦切角</t>
  </si>
  <si>
    <t>熟練應用「弦切角度數 = ½ × 夾弧度數」。</t>
  </si>
  <si>
    <t>分析學生答案：{user_answer}，正確答案：{correct_answer}。如果錯誤，提醒學生「弦切角」（切線與弦的夾角）的度數，等於它所夾的「弧」的度數的「一半」。</t>
  </si>
  <si>
    <t>jh_circle_interior_angle</t>
  </si>
  <si>
    <t>Interior Angle (Circle)</t>
  </si>
  <si>
    <t>圓內角</t>
  </si>
  <si>
    <t>熟練應用圓內角（兩弦交角）= ½ × (兩對應弧度數之和)。</t>
  </si>
  <si>
    <t>分析學生答案：{user_answer}，正確答案：{correct_answer}。如果錯誤，提醒學生「圓內角」（兩弦交角）= (前面弧 + 後面弧) / 2。</t>
  </si>
  <si>
    <t>jh_circle_exterior_angle</t>
  </si>
  <si>
    <t>Exterior Angle (Circle)</t>
  </si>
  <si>
    <t>圓外角</t>
  </si>
  <si>
    <t>熟練應用圓外角（兩割線或兩切線交角）= ½ × (兩對應弧度數之差)。</t>
  </si>
  <si>
    <t>分析學生答案：{user_answer}，正確答案：{correct_answer}。如果錯誤，提醒學生「圓外角」= (大弧 - 小弧) / 2。</t>
  </si>
  <si>
    <t>jh_algebra_proof_odd_even</t>
  </si>
  <si>
    <t>Algebraic Proof (Odd/Even)</t>
  </si>
  <si>
    <t>代數證明 (奇偶數)</t>
  </si>
  <si>
    <t>熟練使用 2n (偶數) 或 2n+1 (奇數) 進行代數推理證明。</t>
  </si>
  <si>
    <t>分析學生答案：{user_answer}，正確答案：{correct_answer}。如果錯誤，引導學生假設 奇數 = 2n+1, 偶數 = 2m，再進行加總或相乘，判斷結果。</t>
  </si>
  <si>
    <t>jh_geo_triangle_circumcenter_def_property</t>
  </si>
  <si>
    <t>Triangle Circumcenter (Definition)</t>
  </si>
  <si>
    <t>三角形的外心 (定義)</t>
  </si>
  <si>
    <t>熟練外心的定義（三邊「中垂線」交點）與性質（到三頂點等距 = 外接圓半徑）。</t>
  </si>
  <si>
    <t>分析學生答案：{user_answer}，正確答案：{correct_answer}。如果錯誤，提醒學生「外心 (O)」是「三邊中垂線」的交點，性質是「OA = OB = OC = R」(到三頂點等距)。</t>
  </si>
  <si>
    <t>jh_geo_triangle_circumcenter_location</t>
  </si>
  <si>
    <t>Triangle Circumcenter (Location)</t>
  </si>
  <si>
    <t>三角形的外心 (位置)</t>
  </si>
  <si>
    <t>熟練判斷外心在三角形的內部（銳角）、外部（鈍角）或斜邊中點（直角）。</t>
  </si>
  <si>
    <t>分析學生答案：{user_answer}，正確答案：{correct_answer}。如果錯誤，提醒學生「直角三角形」的外心在「斜邊中點」；「鈍角三角形」的外心在「三角形外部」。</t>
  </si>
  <si>
    <t>jh_geo_triangle_incenter_def_property</t>
  </si>
  <si>
    <t>Triangle Incenter (Definition)</t>
  </si>
  <si>
    <t>三角形的內心 (定義)</t>
  </si>
  <si>
    <t>熟練內心的定義（三「角平分線」交點）與性質（到三邊等距 = 內切圓半徑）。</t>
  </si>
  <si>
    <t>分析學生答案：{user_answer}，正確答案：{correct_answer}。如果錯誤，提醒學生「內心 (I)」是「三角平分線」的交點，性質是「到三邊等距離 = r」(內切圓半徑)。</t>
  </si>
  <si>
    <t>jh_geo_triangle_incenter_area</t>
  </si>
  <si>
    <t>Triangle Incenter (Area Formula)</t>
  </si>
  <si>
    <t>內心與面積</t>
  </si>
  <si>
    <t>熟練應用三角形面積 A = ½ * s * r（s 為半周長, r 為內切圓半徑）。</t>
  </si>
  <si>
    <t>分析學生答案：{user_answer}，正確答案：{correct_answer}。如果錯誤，提醒學生 A = ½ (a+b+c)r = s·r (面積 = 半周長 × 內切圓半徑)。</t>
  </si>
  <si>
    <t>jh_geo_triangle_centroid_def_property</t>
  </si>
  <si>
    <t>Triangle Centroid (Definition)</t>
  </si>
  <si>
    <t>三角形的重心 (定義)</t>
  </si>
  <si>
    <t>熟練重心的定義（三「中線」交點）與性質（重心將中線分為 2:1）。</t>
  </si>
  <si>
    <t>分析學生答案：{user_answer}，正確答案：{correct_answer}。如果錯誤，提醒學生「重心 (G)」是「三中線」的交點，性質是 AG:GD = 2:1 (頂點到重心 : 重心到中點)。</t>
  </si>
  <si>
    <r>
      <t>[</t>
    </r>
    <r>
      <rPr>
        <sz val="10"/>
        <color rgb="FF000000"/>
        <rFont val="Arial"/>
        <family val="3"/>
        <charset val="136"/>
        <scheme val="minor"/>
      </rPr>
      <t>任務</t>
    </r>
    <r>
      <rPr>
        <sz val="10"/>
        <color rgb="FF000000"/>
        <rFont val="Arial"/>
        <scheme val="minor"/>
      </rPr>
      <t xml:space="preserve">]
</t>
    </r>
    <r>
      <rPr>
        <sz val="10"/>
        <color rgb="FF000000"/>
        <rFont val="Arial"/>
        <family val="3"/>
        <charset val="136"/>
        <scheme val="minor"/>
      </rPr>
      <t>你是功文式數學助教。你的語氣必須</t>
    </r>
    <r>
      <rPr>
        <sz val="10"/>
        <color rgb="FF000000"/>
        <rFont val="Arial"/>
        <scheme val="minor"/>
      </rPr>
      <t xml:space="preserve"> **</t>
    </r>
    <r>
      <rPr>
        <sz val="10"/>
        <color rgb="FF000000"/>
        <rFont val="Arial"/>
        <family val="3"/>
        <charset val="136"/>
        <scheme val="minor"/>
      </rPr>
      <t>簡潔、中性、專業</t>
    </r>
    <r>
      <rPr>
        <sz val="10"/>
        <color rgb="FF000000"/>
        <rFont val="Arial"/>
        <scheme val="minor"/>
      </rPr>
      <t>**</t>
    </r>
    <r>
      <rPr>
        <sz val="10"/>
        <color rgb="FF000000"/>
        <rFont val="Arial"/>
        <family val="3"/>
        <charset val="136"/>
        <scheme val="minor"/>
      </rPr>
      <t xml:space="preserve">。
</t>
    </r>
    <r>
      <rPr>
        <sz val="10"/>
        <color rgb="FF000000"/>
        <rFont val="Arial"/>
        <scheme val="minor"/>
      </rPr>
      <t>**</t>
    </r>
    <r>
      <rPr>
        <sz val="10"/>
        <color rgb="FF000000"/>
        <rFont val="Arial"/>
        <family val="3"/>
        <charset val="136"/>
        <scheme val="minor"/>
      </rPr>
      <t>嚴格禁止</t>
    </r>
    <r>
      <rPr>
        <sz val="10"/>
        <color rgb="FF000000"/>
        <rFont val="Arial"/>
        <scheme val="minor"/>
      </rPr>
      <t>**</t>
    </r>
    <r>
      <rPr>
        <sz val="10"/>
        <color rgb="FF000000"/>
        <rFont val="Arial"/>
        <family val="3"/>
        <charset val="136"/>
        <scheme val="minor"/>
      </rPr>
      <t>：聊天（如</t>
    </r>
    <r>
      <rPr>
        <sz val="10"/>
        <color rgb="FF000000"/>
        <rFont val="Arial"/>
        <scheme val="minor"/>
      </rPr>
      <t xml:space="preserve"> "</t>
    </r>
    <r>
      <rPr>
        <sz val="10"/>
        <color rgb="FF000000"/>
        <rFont val="Arial"/>
        <family val="3"/>
        <charset val="136"/>
        <scheme val="minor"/>
      </rPr>
      <t>哈囉</t>
    </r>
    <r>
      <rPr>
        <sz val="10"/>
        <color rgb="FF000000"/>
        <rFont val="Arial"/>
        <scheme val="minor"/>
      </rPr>
      <t>"</t>
    </r>
    <r>
      <rPr>
        <sz val="10"/>
        <color rgb="FF000000"/>
        <rFont val="Arial"/>
        <family val="3"/>
        <charset val="136"/>
        <scheme val="minor"/>
      </rPr>
      <t>）、表情符號（</t>
    </r>
    <r>
      <rPr>
        <sz val="10"/>
        <color rgb="FF000000"/>
        <rFont val="Arial"/>
        <scheme val="minor"/>
      </rPr>
      <t>emoji</t>
    </r>
    <r>
      <rPr>
        <sz val="10"/>
        <color rgb="FF000000"/>
        <rFont val="Arial"/>
        <family val="3"/>
        <charset val="136"/>
        <scheme val="minor"/>
      </rPr>
      <t>）、過度讚美（如</t>
    </r>
    <r>
      <rPr>
        <sz val="10"/>
        <color rgb="FF000000"/>
        <rFont val="Arial"/>
        <scheme val="minor"/>
      </rPr>
      <t xml:space="preserve"> "</t>
    </r>
    <r>
      <rPr>
        <sz val="10"/>
        <color rgb="FF000000"/>
        <rFont val="Arial"/>
        <family val="3"/>
        <charset val="136"/>
        <scheme val="minor"/>
      </rPr>
      <t>你很棒</t>
    </r>
    <r>
      <rPr>
        <sz val="10"/>
        <color rgb="FF000000"/>
        <rFont val="Arial"/>
        <scheme val="minor"/>
      </rPr>
      <t>"</t>
    </r>
    <r>
      <rPr>
        <sz val="10"/>
        <color rgb="FF000000"/>
        <rFont val="Arial"/>
        <family val="3"/>
        <charset val="136"/>
        <scheme val="minor"/>
      </rPr>
      <t>、</t>
    </r>
    <r>
      <rPr>
        <sz val="10"/>
        <color rgb="FF000000"/>
        <rFont val="Arial"/>
        <scheme val="minor"/>
      </rPr>
      <t>"</t>
    </r>
    <r>
      <rPr>
        <sz val="10"/>
        <color rgb="FF000000"/>
        <rFont val="Arial"/>
        <family val="3"/>
        <charset val="136"/>
        <scheme val="minor"/>
      </rPr>
      <t>哇</t>
    </r>
    <r>
      <rPr>
        <sz val="10"/>
        <color rgb="FF000000"/>
        <rFont val="Arial"/>
        <scheme val="minor"/>
      </rPr>
      <t>"</t>
    </r>
    <r>
      <rPr>
        <sz val="10"/>
        <color rgb="FF000000"/>
        <rFont val="Arial"/>
        <family val="3"/>
        <charset val="136"/>
        <scheme val="minor"/>
      </rPr>
      <t xml:space="preserve">）或不必要的鼓勵性廢話。
</t>
    </r>
    <r>
      <rPr>
        <sz val="10"/>
        <color rgb="FF000000"/>
        <rFont val="Arial"/>
        <scheme val="minor"/>
      </rPr>
      <t>[</t>
    </r>
    <r>
      <rPr>
        <sz val="10"/>
        <color rgb="FF000000"/>
        <rFont val="Arial"/>
        <family val="3"/>
        <charset val="136"/>
        <scheme val="minor"/>
      </rPr>
      <t>分析</t>
    </r>
    <r>
      <rPr>
        <sz val="10"/>
        <color rgb="FF000000"/>
        <rFont val="Arial"/>
        <scheme val="minor"/>
      </rPr>
      <t xml:space="preserve">]
</t>
    </r>
    <r>
      <rPr>
        <sz val="10"/>
        <color rgb="FF000000"/>
        <rFont val="Arial"/>
        <family val="3"/>
        <charset val="136"/>
        <scheme val="minor"/>
      </rPr>
      <t>學生答案：</t>
    </r>
    <r>
      <rPr>
        <sz val="10"/>
        <color rgb="FF000000"/>
        <rFont val="Arial"/>
        <scheme val="minor"/>
      </rPr>
      <t xml:space="preserve">{user_answer}
</t>
    </r>
    <r>
      <rPr>
        <sz val="10"/>
        <color rgb="FF000000"/>
        <rFont val="Arial"/>
        <family val="3"/>
        <charset val="136"/>
        <scheme val="minor"/>
      </rPr>
      <t>正確答案：</t>
    </r>
    <r>
      <rPr>
        <sz val="10"/>
        <color rgb="FF000000"/>
        <rFont val="Arial"/>
        <scheme val="minor"/>
      </rPr>
      <t>{correct_answer}
[</t>
    </r>
    <r>
      <rPr>
        <sz val="10"/>
        <color rgb="FF000000"/>
        <rFont val="Arial"/>
        <family val="3"/>
        <charset val="136"/>
        <scheme val="minor"/>
      </rPr>
      <t>指導</t>
    </r>
    <r>
      <rPr>
        <sz val="10"/>
        <color rgb="FF000000"/>
        <rFont val="Arial"/>
        <scheme val="minor"/>
      </rPr>
      <t>]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</si>
</sst>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tabSelected="1" workbookViewId="0">
      <selection activeCell="A2" sqref="A2:A31"/>
    </sheetView>
  </sheetViews>
  <sheetFormatPr defaultColWidth="12.61328125" defaultRowHeight="15.75" customHeight="1" x14ac:dyDescent="0.3"/>
  <sheetData>
    <row r="1" spans="1:1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ht="15.75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5</v>
      </c>
      <c r="I2" s="1" t="b">
        <v>1</v>
      </c>
      <c r="J2" s="1">
        <v>5580</v>
      </c>
      <c r="L2" t="str">
        <f>RIGHT(G2,LEN(G2)-43)</f>
        <v>如果錯誤，提醒學生 x:y:z 代表 x, y, z 三個數的連續比例。</v>
      </c>
      <c r="M2" s="2" t="s">
        <v>163</v>
      </c>
      <c r="N2" t="str">
        <f>M2&amp;L2</f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x:y:z 代表 x, y, z 三個數的連續比例。</v>
      </c>
    </row>
    <row r="3" spans="1:14" ht="15.75" customHeight="1" x14ac:dyDescent="0.3">
      <c r="A3" s="1" t="s">
        <v>17</v>
      </c>
      <c r="B3" s="1" t="s">
        <v>18</v>
      </c>
      <c r="C3" s="1" t="s">
        <v>19</v>
      </c>
      <c r="D3" s="1" t="s">
        <v>13</v>
      </c>
      <c r="E3" s="1" t="s">
        <v>20</v>
      </c>
      <c r="F3" s="1" t="s">
        <v>15</v>
      </c>
      <c r="G3" s="1" t="s">
        <v>21</v>
      </c>
      <c r="H3" s="1">
        <v>5</v>
      </c>
      <c r="I3" s="1" t="b">
        <v>1</v>
      </c>
      <c r="J3" s="1">
        <v>5590</v>
      </c>
      <c r="L3" t="str">
        <f t="shared" ref="L3:L31" si="0">RIGHT(G3,LEN(G3)-43)</f>
        <v>如果錯誤，引導學生利用「共同項 y」，將 y 的 b 值化為相同（最小公倍數），再合併連比。</v>
      </c>
      <c r="M3" s="2" t="s">
        <v>163</v>
      </c>
      <c r="N3" t="str">
        <f t="shared" ref="N3:N31" si="1">M3&amp;L3</f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[指導]如果錯誤，引導學生利用「共同項 y」，將 y 的 b 值化為相同（最小公倍數），再合併連比。</v>
      </c>
    </row>
    <row r="4" spans="1:14" ht="15.75" customHeight="1" x14ac:dyDescent="0.3">
      <c r="A4" s="1" t="s">
        <v>22</v>
      </c>
      <c r="B4" s="1" t="s">
        <v>23</v>
      </c>
      <c r="C4" s="1" t="s">
        <v>24</v>
      </c>
      <c r="D4" s="1" t="s">
        <v>13</v>
      </c>
      <c r="E4" s="1" t="s">
        <v>25</v>
      </c>
      <c r="F4" s="1" t="s">
        <v>15</v>
      </c>
      <c r="G4" s="1" t="s">
        <v>26</v>
      </c>
      <c r="H4" s="1">
        <v>5</v>
      </c>
      <c r="I4" s="1" t="b">
        <v>1</v>
      </c>
      <c r="J4" s="1">
        <v>5600</v>
      </c>
      <c r="L4" t="str">
        <f t="shared" si="0"/>
        <v>如果錯誤，引導學生若 x:y:z = 2:3:5，應假設 x = 2r, y = 3r, z = 5r，再代入其他條件解出 r。</v>
      </c>
      <c r="M4" s="2" t="s">
        <v>163</v>
      </c>
      <c r="N4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[指導]如果錯誤，引導學生若 x:y:z = 2:3:5，應假設 x = 2r, y = 3r, z = 5r，再代入其他條件解出 r。</v>
      </c>
    </row>
    <row r="5" spans="1:14" ht="15.75" customHeight="1" x14ac:dyDescent="0.3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15</v>
      </c>
      <c r="G5" s="1" t="s">
        <v>32</v>
      </c>
      <c r="H5" s="1">
        <v>5</v>
      </c>
      <c r="I5" s="1" t="b">
        <v>1</v>
      </c>
      <c r="J5" s="1">
        <v>5610</v>
      </c>
      <c r="L5" t="str">
        <f t="shared" si="0"/>
        <v>如果錯誤，提醒學生「平行線截比例線段」性質，檢查對應線段是否正確。</v>
      </c>
      <c r="M5" s="2" t="s">
        <v>163</v>
      </c>
      <c r="N5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[指導]如果錯誤，提醒學生「平行線截比例線段」性質，檢查對應線段是否正確。</v>
      </c>
    </row>
    <row r="6" spans="1:14" ht="15.75" customHeight="1" x14ac:dyDescent="0.3">
      <c r="A6" s="1" t="s">
        <v>33</v>
      </c>
      <c r="B6" s="1" t="s">
        <v>34</v>
      </c>
      <c r="C6" s="1" t="s">
        <v>35</v>
      </c>
      <c r="D6" s="1" t="s">
        <v>30</v>
      </c>
      <c r="E6" s="1" t="s">
        <v>36</v>
      </c>
      <c r="F6" s="1" t="s">
        <v>15</v>
      </c>
      <c r="G6" s="1" t="s">
        <v>37</v>
      </c>
      <c r="H6" s="1">
        <v>5</v>
      </c>
      <c r="I6" s="1" t="b">
        <v>1</v>
      </c>
      <c r="J6" s="1">
        <v>5620</v>
      </c>
      <c r="L6" t="str">
        <f t="shared" si="0"/>
        <v>如果錯誤，提醒學生「中點連線」會「平行底邊、且長度為底邊的一半」。</v>
      </c>
      <c r="M6" s="2" t="s">
        <v>163</v>
      </c>
      <c r="N6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[指導]如果錯誤，提醒學生「中點連線」會「平行底邊、且長度為底邊的一半」。</v>
      </c>
    </row>
    <row r="7" spans="1:14" ht="15.75" customHeight="1" x14ac:dyDescent="0.3">
      <c r="A7" s="1" t="s">
        <v>38</v>
      </c>
      <c r="B7" s="1" t="s">
        <v>39</v>
      </c>
      <c r="C7" s="1" t="s">
        <v>40</v>
      </c>
      <c r="D7" s="1" t="s">
        <v>30</v>
      </c>
      <c r="E7" s="1" t="s">
        <v>41</v>
      </c>
      <c r="F7" s="1" t="s">
        <v>15</v>
      </c>
      <c r="G7" s="1" t="s">
        <v>42</v>
      </c>
      <c r="H7" s="1">
        <v>5</v>
      </c>
      <c r="I7" s="1" t="b">
        <v>1</v>
      </c>
      <c r="J7" s="1">
        <v>5630</v>
      </c>
      <c r="L7" t="str">
        <f t="shared" si="0"/>
        <v>如果錯誤，提醒學生「相似」必須同時滿足 1. 對應角相等 2. 對應邊成比例。</v>
      </c>
      <c r="M7" s="2" t="s">
        <v>163</v>
      </c>
      <c r="N7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[指導]如果錯誤，提醒學生「相似」必須同時滿足 1. 對應角相等 2. 對應邊成比例。</v>
      </c>
    </row>
    <row r="8" spans="1:14" ht="15.75" customHeight="1" x14ac:dyDescent="0.3">
      <c r="A8" s="1" t="s">
        <v>43</v>
      </c>
      <c r="B8" s="1" t="s">
        <v>44</v>
      </c>
      <c r="C8" s="1" t="s">
        <v>45</v>
      </c>
      <c r="D8" s="1" t="s">
        <v>30</v>
      </c>
      <c r="E8" s="1" t="s">
        <v>46</v>
      </c>
      <c r="F8" s="1" t="s">
        <v>15</v>
      </c>
      <c r="G8" s="1" t="s">
        <v>47</v>
      </c>
      <c r="H8" s="1">
        <v>5</v>
      </c>
      <c r="I8" s="1" t="b">
        <v>1</v>
      </c>
      <c r="J8" s="1">
        <v>5640</v>
      </c>
      <c r="L8" t="str">
        <f t="shared" si="0"/>
        <v>如果錯誤，提醒學生只要有「兩組」對應角相等，第三組角必相等，三角形即相似。</v>
      </c>
      <c r="M8" s="2" t="s">
        <v>163</v>
      </c>
      <c r="N8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[指導]如果錯誤，提醒學生只要有「兩組」對應角相等，第三組角必相等，三角形即相似。</v>
      </c>
    </row>
    <row r="9" spans="1:14" ht="15.75" customHeight="1" x14ac:dyDescent="0.3">
      <c r="A9" s="1" t="s">
        <v>48</v>
      </c>
      <c r="B9" s="1" t="s">
        <v>49</v>
      </c>
      <c r="C9" s="1" t="s">
        <v>50</v>
      </c>
      <c r="D9" s="1" t="s">
        <v>30</v>
      </c>
      <c r="E9" s="1" t="s">
        <v>51</v>
      </c>
      <c r="F9" s="1" t="s">
        <v>15</v>
      </c>
      <c r="G9" s="1" t="s">
        <v>52</v>
      </c>
      <c r="H9" s="1">
        <v>5</v>
      </c>
      <c r="I9" s="1" t="b">
        <v>1</v>
      </c>
      <c r="J9" s="1">
        <v>5650</v>
      </c>
      <c r="L9" t="str">
        <f t="shared" si="0"/>
        <v>如果錯誤，提醒學生 SSS 相似：需「三組對應邊」皆「成比例」（例如 3:4:5 和 6:8:10）。</v>
      </c>
      <c r="M9" s="2" t="s">
        <v>163</v>
      </c>
      <c r="N9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SSS 相似：需「三組對應邊」皆「成比例」（例如 3:4:5 和 6:8:10）。</v>
      </c>
    </row>
    <row r="10" spans="1:14" ht="15.75" customHeight="1" x14ac:dyDescent="0.3">
      <c r="A10" s="1" t="s">
        <v>53</v>
      </c>
      <c r="B10" s="1" t="s">
        <v>54</v>
      </c>
      <c r="C10" s="1" t="s">
        <v>55</v>
      </c>
      <c r="D10" s="1" t="s">
        <v>30</v>
      </c>
      <c r="E10" s="1" t="s">
        <v>56</v>
      </c>
      <c r="F10" s="1" t="s">
        <v>15</v>
      </c>
      <c r="G10" s="1" t="s">
        <v>57</v>
      </c>
      <c r="H10" s="1">
        <v>5</v>
      </c>
      <c r="I10" s="1" t="b">
        <v>1</v>
      </c>
      <c r="J10" s="1">
        <v>5660</v>
      </c>
      <c r="L10" t="str">
        <f t="shared" si="0"/>
        <v>如果錯誤，提醒學生 SAS 相似：需「兩組對應邊」成比例，且「夾角」必須相等。</v>
      </c>
      <c r="M10" s="2" t="s">
        <v>163</v>
      </c>
      <c r="N10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SAS 相似：需「兩組對應邊」成比例，且「夾角」必須相等。</v>
      </c>
    </row>
    <row r="11" spans="1:14" ht="15.75" customHeight="1" x14ac:dyDescent="0.3">
      <c r="A11" s="1" t="s">
        <v>58</v>
      </c>
      <c r="B11" s="1" t="s">
        <v>59</v>
      </c>
      <c r="C11" s="1" t="s">
        <v>60</v>
      </c>
      <c r="D11" s="1" t="s">
        <v>30</v>
      </c>
      <c r="E11" s="1" t="s">
        <v>61</v>
      </c>
      <c r="F11" s="1" t="s">
        <v>15</v>
      </c>
      <c r="G11" s="1" t="s">
        <v>62</v>
      </c>
      <c r="H11" s="1">
        <v>5</v>
      </c>
      <c r="I11" s="1" t="b">
        <v>1</v>
      </c>
      <c r="J11" s="1">
        <v>5670</v>
      </c>
      <c r="L11" t="str">
        <f t="shared" si="0"/>
        <v>如果錯誤，引導學生畫出兩個相似三角形（例如人與影、樹與影），並利用「對應邊成比例」列式求解。</v>
      </c>
      <c r="M11" s="2" t="s">
        <v>163</v>
      </c>
      <c r="N11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[指導]如果錯誤，引導學生畫出兩個相似三角形（例如人與影、樹與影），並利用「對應邊成比例」列式求解。</v>
      </c>
    </row>
    <row r="12" spans="1:14" ht="15.75" customHeight="1" x14ac:dyDescent="0.3">
      <c r="A12" s="1" t="s">
        <v>63</v>
      </c>
      <c r="B12" s="1" t="s">
        <v>64</v>
      </c>
      <c r="C12" s="1" t="s">
        <v>65</v>
      </c>
      <c r="D12" s="1" t="s">
        <v>30</v>
      </c>
      <c r="E12" s="1" t="s">
        <v>66</v>
      </c>
      <c r="F12" s="1" t="s">
        <v>15</v>
      </c>
      <c r="G12" s="1" t="s">
        <v>67</v>
      </c>
      <c r="H12" s="1">
        <v>5</v>
      </c>
      <c r="I12" s="1" t="b">
        <v>1</v>
      </c>
      <c r="J12" s="1">
        <v>5680</v>
      </c>
      <c r="L12" t="str">
        <f t="shared" si="0"/>
        <v>如果錯誤，提醒學生若邊長比為 a:b，則面積比為 a²:b²。</v>
      </c>
      <c r="M12" s="2" t="s">
        <v>163</v>
      </c>
      <c r="N12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[指導]如果錯誤，提醒學生若邊長比為 a:b，則面積比為 a²:b²。</v>
      </c>
    </row>
    <row r="13" spans="1:14" ht="15.75" customHeight="1" x14ac:dyDescent="0.3">
      <c r="A13" s="1" t="s">
        <v>68</v>
      </c>
      <c r="B13" s="1" t="s">
        <v>69</v>
      </c>
      <c r="C13" s="1" t="s">
        <v>70</v>
      </c>
      <c r="D13" s="1" t="s">
        <v>30</v>
      </c>
      <c r="E13" s="1" t="s">
        <v>71</v>
      </c>
      <c r="F13" s="1" t="s">
        <v>15</v>
      </c>
      <c r="G13" s="1" t="s">
        <v>72</v>
      </c>
      <c r="H13" s="1">
        <v>5</v>
      </c>
      <c r="I13" s="1" t="b">
        <v>1</v>
      </c>
      <c r="J13" s="1">
        <v>5690</v>
      </c>
      <c r="L13" t="str">
        <f t="shared" si="0"/>
        <v>如果錯誤，提醒學生「弦」是圓上兩點的連線，「弓形」是弦與弧所圍。</v>
      </c>
      <c r="M13" s="2" t="s">
        <v>163</v>
      </c>
      <c r="N13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[指導]如果錯誤，提醒學生「弦」是圓上兩點的連線，「弓形」是弦與弧所圍。</v>
      </c>
    </row>
    <row r="14" spans="1:14" ht="15.75" customHeight="1" x14ac:dyDescent="0.3">
      <c r="A14" s="1" t="s">
        <v>73</v>
      </c>
      <c r="B14" s="1" t="s">
        <v>74</v>
      </c>
      <c r="C14" s="1" t="s">
        <v>75</v>
      </c>
      <c r="D14" s="1" t="s">
        <v>30</v>
      </c>
      <c r="E14" s="1" t="s">
        <v>76</v>
      </c>
      <c r="F14" s="1" t="s">
        <v>15</v>
      </c>
      <c r="G14" s="1" t="s">
        <v>77</v>
      </c>
      <c r="H14" s="1">
        <v>5</v>
      </c>
      <c r="I14" s="1" t="b">
        <v>1</v>
      </c>
      <c r="J14" s="1">
        <v>5700</v>
      </c>
      <c r="L14" t="str">
        <f t="shared" si="0"/>
        <v>如果錯誤，引導學生計算「點 P 到圓心 O 的距離 d」，並與「半徑 r」比較。</v>
      </c>
      <c r="M14" s="2" t="s">
        <v>163</v>
      </c>
      <c r="N14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[指導]如果錯誤，引導學生計算「點 P 到圓心 O 的距離 d」，並與「半徑 r」比較。</v>
      </c>
    </row>
    <row r="15" spans="1:14" ht="15.75" customHeight="1" x14ac:dyDescent="0.3">
      <c r="A15" s="1" t="s">
        <v>78</v>
      </c>
      <c r="B15" s="1" t="s">
        <v>79</v>
      </c>
      <c r="C15" s="1" t="s">
        <v>80</v>
      </c>
      <c r="D15" s="1" t="s">
        <v>30</v>
      </c>
      <c r="E15" s="1" t="s">
        <v>81</v>
      </c>
      <c r="F15" s="1" t="s">
        <v>15</v>
      </c>
      <c r="G15" s="1" t="s">
        <v>82</v>
      </c>
      <c r="H15" s="1">
        <v>5</v>
      </c>
      <c r="I15" s="1" t="b">
        <v>1</v>
      </c>
      <c r="J15" s="1">
        <v>5710</v>
      </c>
      <c r="L15" t="str">
        <f t="shared" si="0"/>
        <v>如果錯誤，引導學生計算「圓心 O 到直線 L 的距離 d」，並與「半徑 r」比較。</v>
      </c>
      <c r="M15" s="2" t="s">
        <v>163</v>
      </c>
      <c r="N15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[指導]如果錯誤，引導學生計算「圓心 O 到直線 L 的距離 d」，並與「半徑 r」比較。</v>
      </c>
    </row>
    <row r="16" spans="1:14" ht="15.75" customHeight="1" x14ac:dyDescent="0.3">
      <c r="A16" s="1" t="s">
        <v>83</v>
      </c>
      <c r="B16" s="1" t="s">
        <v>84</v>
      </c>
      <c r="C16" s="1" t="s">
        <v>85</v>
      </c>
      <c r="D16" s="1" t="s">
        <v>30</v>
      </c>
      <c r="E16" s="1" t="s">
        <v>86</v>
      </c>
      <c r="F16" s="1" t="s">
        <v>15</v>
      </c>
      <c r="G16" s="1" t="s">
        <v>87</v>
      </c>
      <c r="H16" s="1">
        <v>5</v>
      </c>
      <c r="I16" s="1" t="b">
        <v>1</v>
      </c>
      <c r="J16" s="1">
        <v>5720</v>
      </c>
      <c r="L16" t="str">
        <f t="shared" si="0"/>
        <v>如果錯誤，提醒學生「切點」與「圓心」的連線（半徑）必定「垂直」於該切線（=90°）。</v>
      </c>
      <c r="M16" s="2" t="s">
        <v>163</v>
      </c>
      <c r="N16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[指導]如果錯誤，提醒學生「切點」與「圓心」的連線（半徑）必定「垂直」於該切線（=90°）。</v>
      </c>
    </row>
    <row r="17" spans="1:14" ht="15.75" customHeight="1" x14ac:dyDescent="0.3">
      <c r="A17" s="1" t="s">
        <v>88</v>
      </c>
      <c r="B17" s="1" t="s">
        <v>89</v>
      </c>
      <c r="C17" s="1" t="s">
        <v>90</v>
      </c>
      <c r="D17" s="1" t="s">
        <v>30</v>
      </c>
      <c r="E17" s="1" t="s">
        <v>91</v>
      </c>
      <c r="F17" s="1" t="s">
        <v>15</v>
      </c>
      <c r="G17" s="1" t="s">
        <v>92</v>
      </c>
      <c r="H17" s="1">
        <v>5</v>
      </c>
      <c r="I17" s="1" t="b">
        <v>1</v>
      </c>
      <c r="J17" s="1">
        <v>5730</v>
      </c>
      <c r="L17" t="str">
        <f t="shared" si="0"/>
        <v>如果錯誤，提醒學生「弦心距」必定「垂直平分」弦。可利用「畢氏定理」求解半徑、弦心距、半弦長。</v>
      </c>
      <c r="M17" s="2" t="s">
        <v>163</v>
      </c>
      <c r="N17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[指導]如果錯誤，提醒學生「弦心距」必定「垂直平分」弦。可利用「畢氏定理」求解半徑、弦心距、半弦長。</v>
      </c>
    </row>
    <row r="18" spans="1:14" ht="15.75" customHeight="1" x14ac:dyDescent="0.3">
      <c r="A18" s="1" t="s">
        <v>93</v>
      </c>
      <c r="B18" s="1" t="s">
        <v>94</v>
      </c>
      <c r="C18" s="1" t="s">
        <v>95</v>
      </c>
      <c r="D18" s="1" t="s">
        <v>30</v>
      </c>
      <c r="E18" s="1" t="s">
        <v>96</v>
      </c>
      <c r="F18" s="1" t="s">
        <v>15</v>
      </c>
      <c r="G18" s="1" t="s">
        <v>97</v>
      </c>
      <c r="H18" s="1">
        <v>5</v>
      </c>
      <c r="I18" s="1" t="b">
        <v>1</v>
      </c>
      <c r="J18" s="1">
        <v>5740</v>
      </c>
      <c r="L18" t="str">
        <f t="shared" si="0"/>
        <v>如果錯誤，提醒學生在同一個圓中，「弦越長，弦心距越短」。若弦等長，則弦心距必等長。</v>
      </c>
      <c r="M18" s="2" t="s">
        <v>163</v>
      </c>
      <c r="N18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[指導]如果錯誤，提醒學生在同一個圓中，「弦越長，弦心距越短」。若弦等長，則弦心距必等長。</v>
      </c>
    </row>
    <row r="19" spans="1:14" ht="15.75" customHeight="1" x14ac:dyDescent="0.3">
      <c r="A19" s="1" t="s">
        <v>98</v>
      </c>
      <c r="B19" s="1" t="s">
        <v>99</v>
      </c>
      <c r="C19" s="1" t="s">
        <v>100</v>
      </c>
      <c r="D19" s="1" t="s">
        <v>30</v>
      </c>
      <c r="E19" s="1" t="s">
        <v>101</v>
      </c>
      <c r="F19" s="1" t="s">
        <v>15</v>
      </c>
      <c r="G19" s="1" t="s">
        <v>102</v>
      </c>
      <c r="H19" s="1">
        <v>5</v>
      </c>
      <c r="I19" s="1" t="b">
        <v>1</v>
      </c>
      <c r="J19" s="1">
        <v>5750</v>
      </c>
      <c r="L19" t="str">
        <f t="shared" si="0"/>
        <v>如果錯誤，提醒學生「圓心角」幾度，「對應的弧」就是幾度。弧長 = (θ/360)×2πr。</v>
      </c>
      <c r="M19" s="2" t="s">
        <v>163</v>
      </c>
      <c r="N19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[指導]如果錯誤，提醒學生「圓心角」幾度，「對應的弧」就是幾度。弧長 = (θ/360)×2πr。</v>
      </c>
    </row>
    <row r="20" spans="1:14" ht="15.75" customHeight="1" x14ac:dyDescent="0.3">
      <c r="A20" s="1" t="s">
        <v>103</v>
      </c>
      <c r="B20" s="1" t="s">
        <v>104</v>
      </c>
      <c r="C20" s="1" t="s">
        <v>105</v>
      </c>
      <c r="D20" s="1" t="s">
        <v>30</v>
      </c>
      <c r="E20" s="1" t="s">
        <v>106</v>
      </c>
      <c r="F20" s="1" t="s">
        <v>15</v>
      </c>
      <c r="G20" s="1" t="s">
        <v>107</v>
      </c>
      <c r="H20" s="1">
        <v>5</v>
      </c>
      <c r="I20" s="1" t="b">
        <v>1</v>
      </c>
      <c r="J20" s="1">
        <v>5760</v>
      </c>
      <c r="L20" t="str">
        <f t="shared" si="0"/>
        <v>如果錯誤，提醒學生「圓周角」的度數是「圓心角」的一半（= ½ × 對應弧度數）。</v>
      </c>
      <c r="M20" s="2" t="s">
        <v>163</v>
      </c>
      <c r="N20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[指導]如果錯誤，提醒學生「圓周角」的度數是「圓心角」的一半（= ½ × 對應弧度數）。</v>
      </c>
    </row>
    <row r="21" spans="1:14" ht="15.75" customHeight="1" x14ac:dyDescent="0.3">
      <c r="A21" s="1" t="s">
        <v>108</v>
      </c>
      <c r="B21" s="1" t="s">
        <v>109</v>
      </c>
      <c r="C21" s="1" t="s">
        <v>110</v>
      </c>
      <c r="D21" s="1" t="s">
        <v>30</v>
      </c>
      <c r="E21" s="1" t="s">
        <v>111</v>
      </c>
      <c r="F21" s="1" t="s">
        <v>15</v>
      </c>
      <c r="G21" s="1" t="s">
        <v>112</v>
      </c>
      <c r="H21" s="1">
        <v>5</v>
      </c>
      <c r="I21" s="1" t="b">
        <v>1</v>
      </c>
      <c r="J21" s="1">
        <v>5770</v>
      </c>
      <c r="L21" t="str">
        <f t="shared" si="0"/>
        <v>如果錯誤，提醒學生只要看到「直徑」是三角形的一邊，則直徑所對的「圓周角」必為 90°。</v>
      </c>
      <c r="M21" s="2" t="s">
        <v>163</v>
      </c>
      <c r="N21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[指導]如果錯誤，提醒學生只要看到「直徑」是三角形的一邊，則直徑所對的「圓周角」必為 90°。</v>
      </c>
    </row>
    <row r="22" spans="1:14" ht="15.75" customHeight="1" x14ac:dyDescent="0.3">
      <c r="A22" s="1" t="s">
        <v>113</v>
      </c>
      <c r="B22" s="1" t="s">
        <v>114</v>
      </c>
      <c r="C22" s="1" t="s">
        <v>115</v>
      </c>
      <c r="D22" s="1" t="s">
        <v>30</v>
      </c>
      <c r="E22" s="1" t="s">
        <v>116</v>
      </c>
      <c r="F22" s="1" t="s">
        <v>15</v>
      </c>
      <c r="G22" s="1" t="s">
        <v>117</v>
      </c>
      <c r="H22" s="1">
        <v>5</v>
      </c>
      <c r="I22" s="1" t="b">
        <v>1</v>
      </c>
      <c r="J22" s="1">
        <v>5780</v>
      </c>
      <c r="L22" t="str">
        <f t="shared" si="0"/>
        <v>如果錯誤，提醒學生「圓內接四邊形」的「對角」相加必定是 180°。</v>
      </c>
      <c r="M22" s="2" t="s">
        <v>163</v>
      </c>
      <c r="N22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[指導]如果錯誤，提醒學生「圓內接四邊形」的「對角」相加必定是 180°。</v>
      </c>
    </row>
    <row r="23" spans="1:14" ht="15.75" customHeight="1" x14ac:dyDescent="0.3">
      <c r="A23" s="1" t="s">
        <v>118</v>
      </c>
      <c r="B23" s="1" t="s">
        <v>119</v>
      </c>
      <c r="C23" s="1" t="s">
        <v>120</v>
      </c>
      <c r="D23" s="1" t="s">
        <v>30</v>
      </c>
      <c r="E23" s="1" t="s">
        <v>121</v>
      </c>
      <c r="F23" s="1" t="s">
        <v>15</v>
      </c>
      <c r="G23" s="1" t="s">
        <v>122</v>
      </c>
      <c r="H23" s="1">
        <v>5</v>
      </c>
      <c r="I23" s="1" t="b">
        <v>1</v>
      </c>
      <c r="J23" s="1">
        <v>5790</v>
      </c>
      <c r="L23" t="str">
        <f t="shared" si="0"/>
        <v>如果錯誤，提醒學生「弦切角」（切線與弦的夾角）的度數，等於它所夾的「弧」的度數的「一半」。</v>
      </c>
      <c r="M23" s="2" t="s">
        <v>163</v>
      </c>
      <c r="N23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[指導]如果錯誤，提醒學生「弦切角」（切線與弦的夾角）的度數，等於它所夾的「弧」的度數的「一半」。</v>
      </c>
    </row>
    <row r="24" spans="1:14" ht="15.75" customHeight="1" x14ac:dyDescent="0.3">
      <c r="A24" s="1" t="s">
        <v>123</v>
      </c>
      <c r="B24" s="1" t="s">
        <v>124</v>
      </c>
      <c r="C24" s="1" t="s">
        <v>125</v>
      </c>
      <c r="D24" s="1" t="s">
        <v>30</v>
      </c>
      <c r="E24" s="1" t="s">
        <v>126</v>
      </c>
      <c r="F24" s="1" t="s">
        <v>15</v>
      </c>
      <c r="G24" s="1" t="s">
        <v>127</v>
      </c>
      <c r="H24" s="1">
        <v>5</v>
      </c>
      <c r="I24" s="1" t="b">
        <v>1</v>
      </c>
      <c r="J24" s="1">
        <v>5800</v>
      </c>
      <c r="L24" t="str">
        <f t="shared" si="0"/>
        <v>如果錯誤，提醒學生「圓內角」（兩弦交角）= (前面弧 + 後面弧) / 2。</v>
      </c>
      <c r="M24" s="2" t="s">
        <v>163</v>
      </c>
      <c r="N24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[指導]如果錯誤，提醒學生「圓內角」（兩弦交角）= (前面弧 + 後面弧) / 2。</v>
      </c>
    </row>
    <row r="25" spans="1:14" ht="15.75" customHeight="1" x14ac:dyDescent="0.3">
      <c r="A25" s="1" t="s">
        <v>128</v>
      </c>
      <c r="B25" s="1" t="s">
        <v>129</v>
      </c>
      <c r="C25" s="1" t="s">
        <v>130</v>
      </c>
      <c r="D25" s="1" t="s">
        <v>30</v>
      </c>
      <c r="E25" s="1" t="s">
        <v>131</v>
      </c>
      <c r="F25" s="1" t="s">
        <v>15</v>
      </c>
      <c r="G25" s="1" t="s">
        <v>132</v>
      </c>
      <c r="H25" s="1">
        <v>5</v>
      </c>
      <c r="I25" s="1" t="b">
        <v>1</v>
      </c>
      <c r="J25" s="1">
        <v>5810</v>
      </c>
      <c r="L25" t="str">
        <f t="shared" si="0"/>
        <v>如果錯誤，提醒學生「圓外角」= (大弧 - 小弧) / 2。</v>
      </c>
      <c r="M25" s="2" t="s">
        <v>163</v>
      </c>
      <c r="N25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[指導]如果錯誤，提醒學生「圓外角」= (大弧 - 小弧) / 2。</v>
      </c>
    </row>
    <row r="26" spans="1:14" ht="15.75" customHeight="1" x14ac:dyDescent="0.3">
      <c r="A26" s="1" t="s">
        <v>133</v>
      </c>
      <c r="B26" s="1" t="s">
        <v>134</v>
      </c>
      <c r="C26" s="1" t="s">
        <v>135</v>
      </c>
      <c r="D26" s="1" t="s">
        <v>30</v>
      </c>
      <c r="E26" s="1" t="s">
        <v>136</v>
      </c>
      <c r="F26" s="1" t="s">
        <v>15</v>
      </c>
      <c r="G26" s="1" t="s">
        <v>137</v>
      </c>
      <c r="H26" s="1">
        <v>5</v>
      </c>
      <c r="I26" s="1" t="b">
        <v>1</v>
      </c>
      <c r="J26" s="1">
        <v>5820</v>
      </c>
      <c r="L26" t="str">
        <f t="shared" si="0"/>
        <v>如果錯誤，引導學生假設 奇數 = 2n+1, 偶數 = 2m，再進行加總或相乘，判斷結果。</v>
      </c>
      <c r="M26" s="2" t="s">
        <v>163</v>
      </c>
      <c r="N26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[指導]如果錯誤，引導學生假設 奇數 = 2n+1, 偶數 = 2m，再進行加總或相乘，判斷結果。</v>
      </c>
    </row>
    <row r="27" spans="1:14" ht="15.75" customHeight="1" x14ac:dyDescent="0.3">
      <c r="A27" s="1" t="s">
        <v>138</v>
      </c>
      <c r="B27" s="1" t="s">
        <v>139</v>
      </c>
      <c r="C27" s="1" t="s">
        <v>140</v>
      </c>
      <c r="D27" s="1" t="s">
        <v>30</v>
      </c>
      <c r="E27" s="1" t="s">
        <v>141</v>
      </c>
      <c r="F27" s="1" t="s">
        <v>15</v>
      </c>
      <c r="G27" s="1" t="s">
        <v>142</v>
      </c>
      <c r="H27" s="1">
        <v>5</v>
      </c>
      <c r="I27" s="1" t="b">
        <v>1</v>
      </c>
      <c r="J27" s="1">
        <v>5830</v>
      </c>
      <c r="L27" t="str">
        <f t="shared" si="0"/>
        <v>如果錯誤，提醒學生「外心 (O)」是「三邊中垂線」的交點，性質是「OA = OB = OC = R」(到三頂點等距)。</v>
      </c>
      <c r="M27" s="2" t="s">
        <v>163</v>
      </c>
      <c r="N27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[指導]如果錯誤，提醒學生「外心 (O)」是「三邊中垂線」的交點，性質是「OA = OB = OC = R」(到三頂點等距)。</v>
      </c>
    </row>
    <row r="28" spans="1:14" ht="15.75" customHeight="1" x14ac:dyDescent="0.3">
      <c r="A28" s="1" t="s">
        <v>143</v>
      </c>
      <c r="B28" s="1" t="s">
        <v>144</v>
      </c>
      <c r="C28" s="1" t="s">
        <v>145</v>
      </c>
      <c r="D28" s="1" t="s">
        <v>30</v>
      </c>
      <c r="E28" s="1" t="s">
        <v>146</v>
      </c>
      <c r="F28" s="1" t="s">
        <v>15</v>
      </c>
      <c r="G28" s="1" t="s">
        <v>147</v>
      </c>
      <c r="H28" s="1">
        <v>5</v>
      </c>
      <c r="I28" s="1" t="b">
        <v>1</v>
      </c>
      <c r="J28" s="1">
        <v>5840</v>
      </c>
      <c r="L28" t="str">
        <f t="shared" si="0"/>
        <v>如果錯誤，提醒學生「直角三角形」的外心在「斜邊中點」；「鈍角三角形」的外心在「三角形外部」。</v>
      </c>
      <c r="M28" s="2" t="s">
        <v>163</v>
      </c>
      <c r="N28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[指導]如果錯誤，提醒學生「直角三角形」的外心在「斜邊中點」；「鈍角三角形」的外心在「三角形外部」。</v>
      </c>
    </row>
    <row r="29" spans="1:14" ht="15.75" customHeight="1" x14ac:dyDescent="0.3">
      <c r="A29" s="1" t="s">
        <v>148</v>
      </c>
      <c r="B29" s="1" t="s">
        <v>149</v>
      </c>
      <c r="C29" s="1" t="s">
        <v>150</v>
      </c>
      <c r="D29" s="1" t="s">
        <v>30</v>
      </c>
      <c r="E29" s="1" t="s">
        <v>151</v>
      </c>
      <c r="F29" s="1" t="s">
        <v>15</v>
      </c>
      <c r="G29" s="1" t="s">
        <v>152</v>
      </c>
      <c r="H29" s="1">
        <v>5</v>
      </c>
      <c r="I29" s="1" t="b">
        <v>1</v>
      </c>
      <c r="J29" s="1">
        <v>5850</v>
      </c>
      <c r="L29" t="str">
        <f t="shared" si="0"/>
        <v>如果錯誤，提醒學生「內心 (I)」是「三角平分線」的交點，性質是「到三邊等距離 = r」(內切圓半徑)。</v>
      </c>
      <c r="M29" s="2" t="s">
        <v>163</v>
      </c>
      <c r="N29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[指導]如果錯誤，提醒學生「內心 (I)」是「三角平分線」的交點，性質是「到三邊等距離 = r」(內切圓半徑)。</v>
      </c>
    </row>
    <row r="30" spans="1:14" ht="15.75" customHeight="1" x14ac:dyDescent="0.3">
      <c r="A30" s="1" t="s">
        <v>153</v>
      </c>
      <c r="B30" s="1" t="s">
        <v>154</v>
      </c>
      <c r="C30" s="1" t="s">
        <v>155</v>
      </c>
      <c r="D30" s="1" t="s">
        <v>30</v>
      </c>
      <c r="E30" s="1" t="s">
        <v>156</v>
      </c>
      <c r="F30" s="1" t="s">
        <v>15</v>
      </c>
      <c r="G30" s="1" t="s">
        <v>157</v>
      </c>
      <c r="H30" s="1">
        <v>5</v>
      </c>
      <c r="I30" s="1" t="b">
        <v>1</v>
      </c>
      <c r="J30" s="1">
        <v>5860</v>
      </c>
      <c r="L30" t="str">
        <f t="shared" si="0"/>
        <v>如果錯誤，提醒學生 A = ½ (a+b+c)r = s·r (面積 = 半周長 × 內切圓半徑)。</v>
      </c>
      <c r="M30" s="2" t="s">
        <v>163</v>
      </c>
      <c r="N30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= ½ (a+b+c)r = s·r (面積 = 半周長 × 內切圓半徑)。</v>
      </c>
    </row>
    <row r="31" spans="1:14" ht="15.75" customHeight="1" x14ac:dyDescent="0.3">
      <c r="A31" s="1" t="s">
        <v>158</v>
      </c>
      <c r="B31" s="1" t="s">
        <v>159</v>
      </c>
      <c r="C31" s="1" t="s">
        <v>160</v>
      </c>
      <c r="D31" s="1" t="s">
        <v>30</v>
      </c>
      <c r="E31" s="1" t="s">
        <v>161</v>
      </c>
      <c r="F31" s="1" t="s">
        <v>15</v>
      </c>
      <c r="G31" s="1" t="s">
        <v>162</v>
      </c>
      <c r="H31" s="1">
        <v>5</v>
      </c>
      <c r="I31" s="1" t="b">
        <v>1</v>
      </c>
      <c r="J31" s="1">
        <v>5870</v>
      </c>
      <c r="L31" t="str">
        <f t="shared" si="0"/>
        <v>如果錯誤，提醒學生「重心 (G)」是「三中線」的交點，性質是 AG:GD = 2:1 (頂點到重心 : 重心到中點)。</v>
      </c>
      <c r="M31" s="2" t="s">
        <v>163</v>
      </c>
      <c r="N31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[指導]如果錯誤，提醒學生「重心 (G)」是「三中線」的交點，性質是 AG:GD = 2:1 (頂點到重心 : 重心到中點)。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這些是下半部分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2025-11-08T04:10:19Z</dcterms:modified>
</cp:coreProperties>
</file>