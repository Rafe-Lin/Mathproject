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24669" windowHeight="9334"/>
  </bookViews>
  <sheets>
    <sheet name="重新產生國中數學第一冊 skill_curriculum  剛" sheetId="1" r:id="rId1"/>
  </sheets>
  <calcPr calcId="162913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L12" i="1"/>
  <c r="N12" i="1" s="1"/>
  <c r="L13" i="1"/>
  <c r="N13" i="1" s="1"/>
  <c r="L14" i="1"/>
  <c r="N14" i="1"/>
  <c r="L15" i="1"/>
  <c r="N15" i="1" s="1"/>
  <c r="L16" i="1"/>
  <c r="N16" i="1"/>
  <c r="L17" i="1"/>
  <c r="N17" i="1" s="1"/>
  <c r="L18" i="1"/>
  <c r="N18" i="1" s="1"/>
  <c r="L19" i="1"/>
  <c r="N19" i="1" s="1"/>
  <c r="L20" i="1"/>
  <c r="N20" i="1"/>
  <c r="L21" i="1"/>
  <c r="N21" i="1" s="1"/>
  <c r="L22" i="1"/>
  <c r="N22" i="1"/>
  <c r="L23" i="1"/>
  <c r="N23" i="1" s="1"/>
  <c r="L24" i="1"/>
  <c r="N24" i="1" s="1"/>
  <c r="L25" i="1"/>
  <c r="N25" i="1" s="1"/>
  <c r="L26" i="1"/>
  <c r="N26" i="1"/>
  <c r="L27" i="1"/>
  <c r="N27" i="1" s="1"/>
  <c r="L28" i="1"/>
  <c r="N28" i="1"/>
  <c r="L29" i="1"/>
  <c r="N29" i="1"/>
  <c r="L30" i="1"/>
  <c r="N30" i="1" s="1"/>
  <c r="L31" i="1"/>
  <c r="N31" i="1" s="1"/>
  <c r="L32" i="1"/>
  <c r="N32" i="1"/>
  <c r="L33" i="1"/>
  <c r="N33" i="1" s="1"/>
  <c r="L34" i="1"/>
  <c r="N34" i="1"/>
  <c r="L35" i="1"/>
  <c r="N35" i="1"/>
  <c r="L36" i="1"/>
  <c r="N36" i="1" s="1"/>
  <c r="L37" i="1"/>
  <c r="N37" i="1" s="1"/>
  <c r="L38" i="1"/>
  <c r="N38" i="1"/>
  <c r="L39" i="1"/>
  <c r="N39" i="1" s="1"/>
  <c r="L40" i="1"/>
  <c r="N40" i="1"/>
  <c r="L41" i="1"/>
  <c r="N41" i="1"/>
  <c r="L42" i="1"/>
  <c r="N42" i="1" s="1"/>
  <c r="L43" i="1"/>
  <c r="N43" i="1" s="1"/>
  <c r="L44" i="1"/>
  <c r="N44" i="1"/>
  <c r="L45" i="1"/>
  <c r="N45" i="1" s="1"/>
  <c r="L46" i="1"/>
  <c r="N46" i="1"/>
  <c r="L47" i="1"/>
  <c r="N47" i="1"/>
  <c r="L48" i="1"/>
  <c r="N48" i="1" s="1"/>
  <c r="L49" i="1"/>
  <c r="N49" i="1" s="1"/>
  <c r="L50" i="1"/>
  <c r="N50" i="1"/>
  <c r="L51" i="1"/>
  <c r="N51" i="1" s="1"/>
  <c r="L52" i="1"/>
  <c r="N52" i="1"/>
  <c r="L53" i="1"/>
  <c r="N53" i="1"/>
  <c r="L54" i="1"/>
  <c r="N54" i="1" s="1"/>
  <c r="L55" i="1"/>
  <c r="N55" i="1" s="1"/>
  <c r="L56" i="1"/>
  <c r="N56" i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/>
  <c r="N2" i="1"/>
  <c r="L11" i="1"/>
  <c r="N11" i="1" s="1"/>
</calcChain>
</file>

<file path=xl/sharedStrings.xml><?xml version="1.0" encoding="utf-8"?>
<sst xmlns="http://schemas.openxmlformats.org/spreadsheetml/2006/main" count="489" uniqueCount="324">
  <si>
    <t>skill_id</t>
  </si>
  <si>
    <t>skill_en_name</t>
  </si>
  <si>
    <t>skill_ch_name</t>
  </si>
  <si>
    <t>category</t>
  </si>
  <si>
    <t>description</t>
  </si>
  <si>
    <t>input_type</t>
  </si>
  <si>
    <t>consecutive_correct_required</t>
  </si>
  <si>
    <t>is_active</t>
  </si>
  <si>
    <t>order_index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</si>
  <si>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</si>
  <si>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</si>
  <si>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</si>
  <si>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</si>
  <si>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</si>
  <si>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</si>
  <si>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</si>
  <si>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</si>
  <si>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</si>
  <si>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</si>
  <si>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</si>
  <si>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jh_integer_compare</t>
  </si>
  <si>
    <t>Comparing Integers</t>
  </si>
  <si>
    <t>整數比大小</t>
  </si>
  <si>
    <t>熟練比較兩個整數的大小（包含負數）。</t>
  </si>
  <si>
    <t>jh_opposite_number_def</t>
  </si>
  <si>
    <t>Opposite Numbers</t>
  </si>
  <si>
    <t>相反數</t>
  </si>
  <si>
    <t>熟練找出一個整數的相反數（例如 5 的相反數是 -5）。</t>
  </si>
  <si>
    <t>jh_abs_val_def</t>
  </si>
  <si>
    <t>Absolute Value Definition</t>
  </si>
  <si>
    <t>絕對值定義 (距離)</t>
  </si>
  <si>
    <t>熟練計算一個整數的絕對值（表示該數到原點的距離）。</t>
  </si>
  <si>
    <t>jh_abs_val_compare</t>
  </si>
  <si>
    <t>Comparing Absolute Values</t>
  </si>
  <si>
    <t>絕對值比大小</t>
  </si>
  <si>
    <t>熟練比較兩個數的絕對值大小。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</si>
  <si>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</si>
  <si>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</si>
  <si>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</si>
  <si>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</si>
  <si>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</si>
  <si>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</si>
  <si>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</si>
  <si>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</si>
  <si>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</si>
  <si>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</si>
  <si>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</si>
  <si>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</si>
  <si>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</si>
  <si>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jh_integer_subtract_def</t>
  </si>
  <si>
    <t>Integer Subtraction</t>
  </si>
  <si>
    <t>整數減法</t>
  </si>
  <si>
    <t>熟練應用「減去一個數 = 加上它的相反數」(a - b = a + (-b))。</t>
  </si>
  <si>
    <t>分析學生答案：{user_answer}，正確答案：{correct_answer}。如果錯誤，提醒學生「減法」就是「加上相反數」。例如 5 - (-3) = 5 + (+3) = 8。</t>
  </si>
  <si>
    <t>jh_number_line_distance</t>
  </si>
  <si>
    <t>Distance on Number Line</t>
  </si>
  <si>
    <t>數線兩點距離</t>
  </si>
  <si>
    <t>熟練計算數線上 A(a), B(b) 兩點的距離 |a - b| 或 |b - a|。</t>
  </si>
  <si>
    <t>分析學生答案：{user_answer}，正確答案：{correct_answer}。如果錯誤，提醒學生距離 = |大數 - 小數|，或 |a - b|。</t>
  </si>
  <si>
    <t>jh_number_line_midpoint_simple</t>
  </si>
  <si>
    <t>Midpoint on Number Line</t>
  </si>
  <si>
    <t>數線中點</t>
  </si>
  <si>
    <t>熟練計算數線上 A(a), B(b) 兩點的中點 M = (a + b) / 2。</t>
  </si>
  <si>
    <t>分析學生答案：{user_answer}，正確答案：{correct_answer}。如果錯誤，提醒學生中點坐標 = (兩點坐標相加) / 2。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</si>
  <si>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</si>
  <si>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</si>
  <si>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</si>
  <si>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</si>
  <si>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分析學生答案：{user_answer}，正確答案：{correct_answer}。如果錯誤，提醒學生「負負得正」。例如 (-5) × (-3) = +15。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</si>
  <si>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</si>
  <si>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</si>
  <si>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</si>
  <si>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</si>
  <si>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分析學生答案：{user_answer}，正確答案：{correct_answer}。如果錯誤，引導學生先計算「負號」的總個數（奇數個為負，偶數個為正），再計算數字乘積。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</si>
  <si>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</si>
  <si>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</si>
  <si>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</si>
  <si>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</si>
  <si>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分析學生答案：{user_answer}，正確答案：{correct_answer}。如果錯誤，提醒學生「同號得正、異號得負」。例如 (-15) ÷ (-3) = +5。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</si>
  <si>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</si>
  <si>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</si>
  <si>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</si>
  <si>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</si>
  <si>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分析學生答案：{user_answer}，正確答案：{correct_answer}。如果錯誤，提醒學生「先乘除，後加減」，並注意正負號。</t>
  </si>
  <si>
    <t>jh_integer_distributive_law</t>
  </si>
  <si>
    <t>Distributive Law</t>
  </si>
  <si>
    <t>乘法分配律</t>
  </si>
  <si>
    <t>熟練應用分配律 a × (b + c) = a×b + a×c 簡化計算。</t>
  </si>
  <si>
    <t>分析學生答案：{user_answer}，正確答案：{correct_answer}。如果錯誤，提醒學生 a × (b + c) = a×b + a×c。檢查符號是否分配正確。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</si>
  <si>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</si>
  <si>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</si>
  <si>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</si>
  <si>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</si>
  <si>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</si>
  <si>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分析學生答案：{user_answer}，正確答案：{correct_answer}。如果錯誤，提醒學生 3⁴ = 3×3×3×3 = 81。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</si>
  <si>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</si>
  <si>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</si>
  <si>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</si>
  <si>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</si>
  <si>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分析學生答案：{user_answer}，正確答案：{correct_answer}。如果錯誤，提醒學生 (-2)⁴ = +16（偶次）但 -2⁴ = - (2⁴) = -16（括號是關鍵）。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</si>
  <si>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</si>
  <si>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</si>
  <si>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</si>
  <si>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</si>
  <si>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分析學生答案：{user_answer}，正確答案：{correct_answer}。如果錯誤，提醒學生「先算次方」，再「乘除」，最後「加減」。</t>
  </si>
  <si>
    <t>jh_exponent_power_of_10</t>
  </si>
  <si>
    <t>Power of 10</t>
  </si>
  <si>
    <t>10 的次方</t>
  </si>
  <si>
    <t>熟練將 1000, 100, 0.01 等數表示為 10 的次方。</t>
  </si>
  <si>
    <t>分析學生答案：{user_answer}，正確答案：{correct_answer}。如果錯誤，提醒學生 10ⁿ (n&gt;0) 是 1 後面 n 個 0；10⁻ⁿ (n&gt;0) 是小數點後第 n 位為 1。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</si>
  <si>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</si>
  <si>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</si>
  <si>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</si>
  <si>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</si>
  <si>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分析學生答案：{user_answer}，正確答案：{correct_answer}。如果錯誤，提醒學生 a 必須在 1 到 10 之間（1 ≤ a &lt; 10），並檢查 n (小數點移動位數) 是否正確。</t>
  </si>
  <si>
    <t>jh_sci_note_compare</t>
  </si>
  <si>
    <t>Comparing Scientific Notation</t>
  </si>
  <si>
    <t>科學記號比大小</t>
  </si>
  <si>
    <t>熟練比較科學記號表示的兩數大小。</t>
  </si>
  <si>
    <t>分析學生答案：{user_answer}，正確答案：{correct_answer}。如果錯誤，提醒學生先比「指數 n」，n 越大，數越大。若 n 相同，再比前面的「數字 a」。</t>
  </si>
  <si>
    <t>jh_factor_multiple_def</t>
  </si>
  <si>
    <t>Factors &amp; Multiples Definition</t>
  </si>
  <si>
    <t>因數與倍數</t>
  </si>
  <si>
    <t>熟練判斷 a 是否為 b 的因數（b ÷ a 整除）。</t>
  </si>
  <si>
    <t>分析學生答案：{user_answer}，正確答案：{correct_answer}。如果錯誤，提醒學生若 a | b (a 整除 b)，則 a 是 b 的因數，b 是 a 的倍數。</t>
  </si>
  <si>
    <t>jh_divisibility_rules</t>
  </si>
  <si>
    <t>Divisibility Rules (2, 3, 4, 5, 9, 11)</t>
  </si>
  <si>
    <t>倍數判別法</t>
  </si>
  <si>
    <t>熟練應用 2, 3, 4, 5, 9, 11 的倍數判別法。</t>
  </si>
  <si>
    <t>分析學生答案：{user_answer}，正確答案：{correct_answer}。如果錯誤，提醒學生「3 的倍數：數字和為 3 的倍數」、「4 的倍數：末兩位為 4 的倍數」、「11 的倍數：(奇位和) - (偶位和) 為 11 的倍數或 0」。</t>
  </si>
  <si>
    <t>jh_prime_composite_def</t>
  </si>
  <si>
    <t>Prime &amp; Composite Numbers</t>
  </si>
  <si>
    <t>質數與合數</t>
  </si>
  <si>
    <t>熟練辨識 1 到 100 內的質數與合數。</t>
  </si>
  <si>
    <t>分析學生答案：{user_answer}，正確答案：{correct_answer}。如果錯誤，提醒學生「質數」是除了 1 和自己以外沒有別的正因數。「1」不是質數也不是合數。「2」是最小的質數。</t>
  </si>
  <si>
    <t>jh_prime_factorization</t>
  </si>
  <si>
    <t>Prime Factorization</t>
  </si>
  <si>
    <t>質因數分解</t>
  </si>
  <si>
    <t>熟練使用短除法對一數進行質因數分解。</t>
  </si>
  <si>
    <t>分析學生答案：{user_answer}，正確答案：{correct_answer}。如果錯誤，引導學生使用「短除法」，且除數必須是「質數」。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</si>
  <si>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</si>
  <si>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</si>
  <si>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</si>
  <si>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</si>
  <si>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分析學生答案：{user_answer}，正確答案：{correct_answer}。如果錯誤，提醒學生「標準分解式」要將所有質因數由小到大排列，並用「次方」表示。</t>
  </si>
  <si>
    <t>jh_gcf_def</t>
  </si>
  <si>
    <t>GCF Definition</t>
  </si>
  <si>
    <t>公因數與最大公因數</t>
  </si>
  <si>
    <t>熟練找出兩數的公因數與最大公因數 (GCF)。</t>
  </si>
  <si>
    <t>分析學生答案：{user_answer}，正確答案：{correct_answer}。如果錯誤，引導學生分別列出兩數的「所有因數」，再圈出「共同」的因數，其中最大的就是 GCF。</t>
  </si>
  <si>
    <t>jh_relatively_prime_def</t>
  </si>
  <si>
    <t>Relatively Prime Definition</t>
  </si>
  <si>
    <t>互質</t>
  </si>
  <si>
    <t>熟練判斷兩數是否互質（GCF = 1）。</t>
  </si>
  <si>
    <t>分析學生答案：{user_answer}，正確答案：{correct_answer}。如果錯誤，提醒學生「互質」代表兩數的最大公因數為 1。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</si>
  <si>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</si>
  <si>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</si>
  <si>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</si>
  <si>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</si>
  <si>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分析學生答案：{user_answer}，正確答案：{correct_answer}。如果錯誤，提醒學生求 GCF (最大公因數) 時，要取「共同」的質因數，且次方要取「最低」的。</t>
  </si>
  <si>
    <t>jh_gcf_calc_short_division</t>
  </si>
  <si>
    <t>GCF (Short Division)</t>
  </si>
  <si>
    <t>GCF (短除法)</t>
  </si>
  <si>
    <t>熟練利用短除法求 GCF。</t>
  </si>
  <si>
    <t>分析學生答案：{user_answer}，正確答案：{correct_answer}。如果錯誤，提醒學生短除法求 GCF 時，除數必須是「公因數」，直到「互質」為止，GCF 為「左側」除數相乘。</t>
  </si>
  <si>
    <t>jh_lcm_def</t>
  </si>
  <si>
    <t>LCM Definition</t>
  </si>
  <si>
    <t>公倍數與最小公倍數</t>
  </si>
  <si>
    <t>熟練找出兩數的公倍數與最小公倍數 (LCM)。</t>
  </si>
  <si>
    <t>分析學生答案：{user_answer}，正確答案：{correct_answer}。如果錯誤，引導學生分別列出兩數的「倍數」，再圈出「共同」的倍數，其中最小的就是 LCM。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</si>
  <si>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</si>
  <si>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</si>
  <si>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</si>
  <si>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</si>
  <si>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分析學生答案：{user_answer}，正確答案：{correct_answer}。如果錯誤，提醒學生求 LCM (最小公倍數) 時，要取「所有」出現過的質因數，且次方要取「最高」的。</t>
  </si>
  <si>
    <t>jh_lcm_calc_short_division</t>
  </si>
  <si>
    <t>LCM (Short Division)</t>
  </si>
  <si>
    <t>LCM (短除法)</t>
  </si>
  <si>
    <t>熟練利用短除法求 LCM。</t>
  </si>
  <si>
    <t>分析學生答案：{user_answer}，正確答案：{correct_answer}。如果錯誤，提醒學生短除法求 LCM 時，除數只要「兩兩互質」即可，LCM 為「左側」與「下方」所有數相乘。</t>
  </si>
  <si>
    <t>jh_gcf_lcm_relation</t>
  </si>
  <si>
    <t>GCF &amp; LCM Relation</t>
  </si>
  <si>
    <t>GCF 與 LCM 關係</t>
  </si>
  <si>
    <t>熟練應用 a,b × (a, b) = a × b 的關係。</t>
  </si>
  <si>
    <t>分析學生答案：{user_answer}，正確答案：{correct_answer}。如果錯誤，提醒學生 (a, b) × a,b = a × b (兩數 GCF × LCM = 兩數乘積)。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</si>
  <si>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</si>
  <si>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</si>
  <si>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</si>
  <si>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</si>
  <si>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</si>
  <si>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分析學生答案：{user_answer}，正確答案：{correct_answer}。如果錯誤，提醒學生「最簡分數」代表分子分母「互質」。</t>
  </si>
  <si>
    <t>jh_fraction_compare</t>
  </si>
  <si>
    <t>Comparing Fractions</t>
  </si>
  <si>
    <t>分數比大小</t>
  </si>
  <si>
    <t>熟練比較分數大小（通分母或交叉相乘）。</t>
  </si>
  <si>
    <t>分析學生答案：{user_answer}，正確答案：{correct_answer}。如果錯誤，引導學生使用「通分母」法，將分母化為 LCM 後，再比較「分子」大小。</t>
  </si>
  <si>
    <t>jh_fraction_add_sub_same_den</t>
  </si>
  <si>
    <t>Fraction Add/Sub (Same Denominator)</t>
  </si>
  <si>
    <t>分數加減 (同分母)</t>
  </si>
  <si>
    <t>熟練計算同分母的分數加減法。</t>
  </si>
  <si>
    <t>分析學生答案：{user_answer}，正確答案：{correct_answer}。如果錯誤，提醒學生「同分母」時，「分母不變」，「分子」直接相加減。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</si>
  <si>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</si>
  <si>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</si>
  <si>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</si>
  <si>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</si>
  <si>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分析學生答案：{user_answer}，正確答案：{correct_answer}。如果錯誤，提醒學生「異分母」必須先「通分」（找出分母的 LCM），才能做加減。</t>
  </si>
  <si>
    <t>jh_fraction_multiply</t>
  </si>
  <si>
    <t>Fraction Multiplication</t>
  </si>
  <si>
    <t>分數乘法</t>
  </si>
  <si>
    <t>熟練計算分數乘法（分子乘分子，分母乘分母）。</t>
  </si>
  <si>
    <t>分析學生答案：{user_answer}，正確答案：{correct_answer}。如果錯誤，提醒學生「分子 × 分子，分母 × 分母」，並在計算前先「約分」。</t>
  </si>
  <si>
    <t>jh_fraction_reciprocal_def</t>
  </si>
  <si>
    <t>Reciprocal Number</t>
  </si>
  <si>
    <t>倒數</t>
  </si>
  <si>
    <t>熟練找出一個數的倒數（兩數相乘 = 1）。</t>
  </si>
  <si>
    <t>分析學生答案：{user_answer}，正確答案：{correct_answer}。如果錯誤，提醒學生 a/b 的「倒數」是 b/a。</t>
  </si>
  <si>
    <t>jh_fraction_divide</t>
  </si>
  <si>
    <t>Fraction Division</t>
  </si>
  <si>
    <t>分數除法</t>
  </si>
  <si>
    <t>熟練計算分數除法（除以一個數 = 乘以它的倒數）。</t>
  </si>
  <si>
    <t>分析學生答案：{user_answer}，正確答案：{correct_answer}。如果錯誤，提醒學生「除以一個數」等於「乘以它的倒數」。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</si>
  <si>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</si>
  <si>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</si>
  <si>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</si>
  <si>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</si>
  <si>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分析學生答案：{user_answer}，正確答案：{correct_answer}。如果錯誤，提醒學生「先乘除，後加減」，並注意「帶分數」在乘除時要先換成「假分數」。</t>
  </si>
  <si>
    <t>jh_exponent_law_multiply</t>
  </si>
  <si>
    <t>Exponent Law (Multiplication)</t>
  </si>
  <si>
    <t>指數律 (乘法)</t>
  </si>
  <si>
    <t>熟練應用 (aᵐ × aⁿ = aᵐ⁺ⁿ) 且底數可為分數。</t>
  </si>
  <si>
    <t>分析學生答案：{user_answer}，正確答案：{correct_answer}。如果錯誤，提醒學生「底數相同，相乘」⇒「指數相加」。</t>
  </si>
  <si>
    <t>jh_exponent_law_divide</t>
  </si>
  <si>
    <t>Exponent Law (Division)</t>
  </si>
  <si>
    <t>指數律 (除法)</t>
  </si>
  <si>
    <t>熟練應用 (aᵐ ÷ aⁿ = aᵐ⁻ⁿ) 且底數可為分數。</t>
  </si>
  <si>
    <t>分析學生答案：{user_answer}，正確答案：{correct_answer}。如果錯誤，提醒學生「底數相同，相除」⇒「指數相減」。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</si>
  <si>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</si>
  <si>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</si>
  <si>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</si>
  <si>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</si>
  <si>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分析學生答案：{user_answer}，正確答案：{correct_answer}。如果錯誤，提醒學生 (aᵐ)ⁿ = aᵐ×ⁿ（次方再次方 ⇒ 指數相乘）。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</si>
  <si>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</si>
  <si>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</si>
  <si>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</si>
  <si>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</si>
  <si>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分析學生答案：{user_answer}，正確答案：{correct_answer}。如果錯誤，提醒學生 (a×b)ⁿ = aⁿ × bⁿ（次方可以分配給「乘/除」）。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</si>
  <si>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</si>
  <si>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</si>
  <si>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</si>
  <si>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</si>
  <si>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</si>
  <si>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分析學生答案：{user_answer}，正確答案：{correct_answer}。如果錯誤，提醒學生「...的 3 倍少 5」應寫為 3x - 5。</t>
  </si>
  <si>
    <t>jh_algebra_substitute_value</t>
  </si>
  <si>
    <t>Evaluate Algebraic Expression</t>
  </si>
  <si>
    <t>代數式求值</t>
  </si>
  <si>
    <t>熟練將 x=a 代入代數式並計算其值。</t>
  </si>
  <si>
    <t>分析學生答案：{user_answer}，正確答案：{correct_answer}。如果錯誤，提醒學生 x = -2 時，-3x + 1 = (-3)×(-2) + 1 = 6 + 1 = 7。</t>
  </si>
  <si>
    <t>jh_algebra_combine_like_terms</t>
  </si>
  <si>
    <t>Combine Like Terms</t>
  </si>
  <si>
    <t>同類項合併</t>
  </si>
  <si>
    <t>熟練合併同類項（例如 3x + 2y - x + 5y = 2x + 7y）。</t>
  </si>
  <si>
    <t>分析學生答案：{user_answer}，正確答案：{correct_answer}。如果錯誤，提醒學生「x」只能跟「x」合併，「y」只能跟「y」合併。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</si>
  <si>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</si>
  <si>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</si>
  <si>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</si>
  <si>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</si>
  <si>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分析學生答案：{user_answer}，正確答案：{correct_answer}。如果錯誤，提醒學生 -3(x - 2) = (-3)x + (-3)(-2) = -3x + 6，注意「負負得正」。</t>
  </si>
  <si>
    <t>jh_algebra_fractional_simplify</t>
  </si>
  <si>
    <t>Simplify (Fractional Terms)</t>
  </si>
  <si>
    <t>化簡 (分數型)</t>
  </si>
  <si>
    <t>熟練化簡含分數的代數式（例如 (x+1)/2 + (x-2)/3）。</t>
  </si>
  <si>
    <t>分析學生答案：{user_answer}，正確答案：{correct_answer}。如果錯誤，引導學生先「通分」（擴分為分母 6），再合併「分子」的同類項。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</si>
  <si>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</si>
  <si>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</si>
  <si>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</si>
  <si>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</si>
  <si>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</si>
  <si>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分析學生答案：{user_answer}，正確答案：{correct_answer}。如果錯誤，提醒學生「移項要變號」：x + 3 = 5 ⇒ x = 5 - 3。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</si>
  <si>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</si>
  <si>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</si>
  <si>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</si>
  <si>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</si>
  <si>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分析學生答案：{user_answer}，正確答案：{correct_answer}。如果錯誤，提醒學生「移項」時，「乘」變「除」：3x = 6 ⇒ x = 6 ÷ 3。</t>
  </si>
  <si>
    <t>jh_equation_solve_two_step</t>
  </si>
  <si>
    <t>Two-Step Equation (ax+b=c)</t>
  </si>
  <si>
    <t>解一元一次方程式 (兩步)</t>
  </si>
  <si>
    <t>熟練解 ax + b = c 形式的方程式。</t>
  </si>
  <si>
    <t>分析學生答案：{user_answer}，正確答案：{correct_answer}。如果錯誤，教導學生「先移加減，後移乘除」：2x + 1 = 7 ⇒ 2x = 6 ⇒ x = 3。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</si>
  <si>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</si>
  <si>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</si>
  <si>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</si>
  <si>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</si>
  <si>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分析學生答案：{user_answer}，正確答案：{correct_answer}。如果錯誤，引導學生將「x 項移到同一邊」，「常數項移到另一邊」。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</si>
  <si>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</si>
  <si>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</si>
  <si>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</si>
  <si>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</si>
  <si>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分析學生答案：{user_answer}，正確答案：{correct_answer}。如果錯誤，引導學生「第一步：用分配律去括號」，「第二步：移項」，「第三步：求解」。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</si>
  <si>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</si>
  <si>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</si>
  <si>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</si>
  <si>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</si>
  <si>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分析學生答案：{user_answer}，正確答案：{correct_answer}。如果錯誤，提醒學生「去分母」時，方程式的「每一項」（包含整數項）都要乘以公倍數。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</si>
  <si>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</si>
  <si>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</si>
  <si>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</si>
  <si>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</si>
  <si>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分析學生答案：{user_answer}，正確答案：{correct_answer}。如果錯誤，引導學生找出題目中的「...等於...」、「...和...一樣多」等關鍵字，作為等號。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</si>
  <si>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</si>
  <si>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</si>
  <si>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</si>
  <si>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</si>
  <si>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分析學生答案：{user_answer}，正確答案：{correct_answer}。如果錯誤，引導學生 1. 檢查「列式」是否正確。 2. 檢查「計算」是否正確。 3. 檢查答案是否符合題意（例如：人數不能是負數或分數）。</t>
  </si>
  <si>
    <t>gemini_prompt</t>
    <phoneticPr fontId="2" type="noConversion"/>
  </si>
  <si>
    <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如果學生錯誤，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直接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點出錯誤的核心概念。範例：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提醒學生「收入」是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，「支出」是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；「高於」是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，「低於」是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/>
    </r>
    <phoneticPr fontId="2" type="noConversion"/>
  </si>
  <si>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如果錯誤，提醒學生「原點</t>
    </r>
    <r>
      <rPr>
        <sz val="10"/>
        <color theme="1"/>
        <rFont val="Arial"/>
        <family val="2"/>
        <scheme val="minor"/>
      </rPr>
      <t xml:space="preserve"> 0</t>
    </r>
    <r>
      <rPr>
        <sz val="10"/>
        <color theme="1"/>
        <rFont val="Arial"/>
        <family val="3"/>
        <charset val="136"/>
        <scheme val="minor"/>
      </rPr>
      <t>」的右邊是正數，左邊是負數。</t>
    </r>
    <phoneticPr fontId="2" type="noConversion"/>
  </si>
  <si>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如果錯誤，提醒學生在數線上，「越右邊」的數越大。例如</t>
    </r>
    <r>
      <rPr>
        <sz val="10"/>
        <color theme="1"/>
        <rFont val="Arial"/>
        <family val="2"/>
        <scheme val="minor"/>
      </rPr>
      <t xml:space="preserve"> -3 &gt; -10</t>
    </r>
    <r>
      <rPr>
        <sz val="10"/>
        <color theme="1"/>
        <rFont val="Arial"/>
        <family val="3"/>
        <charset val="136"/>
        <scheme val="minor"/>
      </rPr>
      <t>。</t>
    </r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</si>
  <si>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[指導]如果錯誤，提醒學生「相反數」是在數線上與原點「距離相等」但「方向相反」的數。</t>
    <phoneticPr fontId="2" type="noConversion"/>
  </si>
  <si>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如果錯誤，提醒學生「絕對值」代表「到</t>
    </r>
    <r>
      <rPr>
        <sz val="10"/>
        <color theme="1"/>
        <rFont val="Arial"/>
        <family val="2"/>
        <scheme val="minor"/>
      </rPr>
      <t xml:space="preserve"> 0 </t>
    </r>
    <r>
      <rPr>
        <sz val="10"/>
        <color theme="1"/>
        <rFont val="Arial"/>
        <family val="3"/>
        <charset val="136"/>
        <scheme val="minor"/>
      </rPr>
      <t>的距離」，所以</t>
    </r>
    <r>
      <rPr>
        <sz val="10"/>
        <color theme="1"/>
        <rFont val="Arial"/>
        <family val="2"/>
        <scheme val="minor"/>
      </rPr>
      <t xml:space="preserve"> |-5| = 5</t>
    </r>
    <r>
      <rPr>
        <sz val="10"/>
        <color theme="1"/>
        <rFont val="Arial"/>
        <family val="3"/>
        <charset val="136"/>
        <scheme val="minor"/>
      </rPr>
      <t>，</t>
    </r>
    <r>
      <rPr>
        <sz val="10"/>
        <color theme="1"/>
        <rFont val="Arial"/>
        <family val="2"/>
        <scheme val="minor"/>
      </rPr>
      <t>|5| = 5</t>
    </r>
    <r>
      <rPr>
        <sz val="10"/>
        <color theme="1"/>
        <rFont val="Arial"/>
        <family val="3"/>
        <charset val="136"/>
        <scheme val="minor"/>
      </rPr>
      <t>，結果永遠是正數或</t>
    </r>
    <r>
      <rPr>
        <sz val="10"/>
        <color theme="1"/>
        <rFont val="Arial"/>
        <family val="2"/>
        <scheme val="minor"/>
      </rPr>
      <t xml:space="preserve"> 0</t>
    </r>
    <r>
      <rPr>
        <sz val="10"/>
        <color theme="1"/>
        <rFont val="Arial"/>
        <family val="3"/>
        <charset val="136"/>
        <scheme val="minor"/>
      </rPr>
      <t>。</t>
    </r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</si>
  <si>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[指導]如果錯誤，提醒學生先將兩數都取絕對值（都變成正數）後，再比較大小。</t>
    <phoneticPr fontId="2" type="noConversion"/>
  </si>
  <si>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如果錯誤，提醒學生</t>
    </r>
    <r>
      <rPr>
        <sz val="10"/>
        <color theme="1"/>
        <rFont val="Arial"/>
        <family val="2"/>
        <scheme val="minor"/>
      </rPr>
      <t xml:space="preserve"> (-5) + (-2) = -(5+2) = -7 (</t>
    </r>
    <r>
      <rPr>
        <sz val="10"/>
        <color theme="1"/>
        <rFont val="Arial"/>
        <family val="3"/>
        <charset val="136"/>
        <scheme val="minor"/>
      </rPr>
      <t>欠</t>
    </r>
    <r>
      <rPr>
        <sz val="10"/>
        <color theme="1"/>
        <rFont val="Arial"/>
        <family val="2"/>
        <scheme val="minor"/>
      </rPr>
      <t xml:space="preserve"> 5 </t>
    </r>
    <r>
      <rPr>
        <sz val="10"/>
        <color theme="1"/>
        <rFont val="Arial"/>
        <family val="3"/>
        <charset val="136"/>
        <scheme val="minor"/>
      </rPr>
      <t>元再欠</t>
    </r>
    <r>
      <rPr>
        <sz val="10"/>
        <color theme="1"/>
        <rFont val="Arial"/>
        <family val="2"/>
        <scheme val="minor"/>
      </rPr>
      <t xml:space="preserve"> 2 </t>
    </r>
    <r>
      <rPr>
        <sz val="10"/>
        <color theme="1"/>
        <rFont val="Arial"/>
        <family val="3"/>
        <charset val="136"/>
        <scheme val="minor"/>
      </rPr>
      <t>元，共欠</t>
    </r>
    <r>
      <rPr>
        <sz val="10"/>
        <color theme="1"/>
        <rFont val="Arial"/>
        <family val="2"/>
        <scheme val="minor"/>
      </rPr>
      <t xml:space="preserve"> 7 </t>
    </r>
    <r>
      <rPr>
        <sz val="10"/>
        <color theme="1"/>
        <rFont val="Arial"/>
        <family val="3"/>
        <charset val="136"/>
        <scheme val="minor"/>
      </rPr>
      <t>元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36"/>
        <scheme val="minor"/>
      </rPr>
      <t>。</t>
    </r>
    <phoneticPr fontId="2" type="noConversion"/>
  </si>
  <si>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如果錯誤，提醒學生</t>
    </r>
    <r>
      <rPr>
        <sz val="10"/>
        <color theme="1"/>
        <rFont val="Arial"/>
        <family val="2"/>
        <scheme val="minor"/>
      </rPr>
      <t xml:space="preserve"> (-5) + (+2) = -(5-2) = -3 (</t>
    </r>
    <r>
      <rPr>
        <sz val="10"/>
        <color theme="1"/>
        <rFont val="Arial"/>
        <family val="3"/>
        <charset val="136"/>
        <scheme val="minor"/>
      </rPr>
      <t>欠</t>
    </r>
    <r>
      <rPr>
        <sz val="10"/>
        <color theme="1"/>
        <rFont val="Arial"/>
        <family val="2"/>
        <scheme val="minor"/>
      </rPr>
      <t xml:space="preserve"> 5 </t>
    </r>
    <r>
      <rPr>
        <sz val="10"/>
        <color theme="1"/>
        <rFont val="Arial"/>
        <family val="3"/>
        <charset val="136"/>
        <scheme val="minor"/>
      </rPr>
      <t>元還</t>
    </r>
    <r>
      <rPr>
        <sz val="10"/>
        <color theme="1"/>
        <rFont val="Arial"/>
        <family val="2"/>
        <scheme val="minor"/>
      </rPr>
      <t xml:space="preserve"> 2 </t>
    </r>
    <r>
      <rPr>
        <sz val="10"/>
        <color theme="1"/>
        <rFont val="Arial"/>
        <family val="3"/>
        <charset val="136"/>
        <scheme val="minor"/>
      </rPr>
      <t>元，還欠</t>
    </r>
    <r>
      <rPr>
        <sz val="10"/>
        <color theme="1"/>
        <rFont val="Arial"/>
        <family val="2"/>
        <scheme val="minor"/>
      </rPr>
      <t xml:space="preserve"> 3 </t>
    </r>
    <r>
      <rPr>
        <sz val="10"/>
        <color theme="1"/>
        <rFont val="Arial"/>
        <family val="3"/>
        <charset val="136"/>
        <scheme val="minor"/>
      </rPr>
      <t>元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36"/>
        <scheme val="minor"/>
      </rPr>
      <t>。</t>
    </r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</si>
  <si>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[指導]如果錯誤，引導學生先將「正數」放一起，「負數」放一起，再合併計算。</t>
    <phoneticPr fontId="2" type="noConversion"/>
  </si>
  <si>
    <r>
      <t>[</t>
    </r>
    <r>
      <rPr>
        <sz val="10"/>
        <color rgb="FF000000"/>
        <rFont val="Arial"/>
        <family val="3"/>
        <charset val="136"/>
        <scheme val="minor"/>
      </rPr>
      <t>任務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你是功文式數學助教。你的語氣必須</t>
    </r>
    <r>
      <rPr>
        <sz val="10"/>
        <color rgb="FF000000"/>
        <rFont val="Arial"/>
        <scheme val="minor"/>
      </rPr>
      <t xml:space="preserve"> **</t>
    </r>
    <r>
      <rPr>
        <sz val="10"/>
        <color rgb="FF000000"/>
        <rFont val="Arial"/>
        <family val="3"/>
        <charset val="136"/>
        <scheme val="minor"/>
      </rPr>
      <t>簡潔、中性、專業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 xml:space="preserve">。
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嚴格禁止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：聊天（如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哈囉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）、表情符號（</t>
    </r>
    <r>
      <rPr>
        <sz val="10"/>
        <color rgb="FF000000"/>
        <rFont val="Arial"/>
        <scheme val="minor"/>
      </rPr>
      <t>emoji</t>
    </r>
    <r>
      <rPr>
        <sz val="10"/>
        <color rgb="FF000000"/>
        <rFont val="Arial"/>
        <family val="3"/>
        <charset val="136"/>
        <scheme val="minor"/>
      </rPr>
      <t>）、過度讚美（如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你很棒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、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哇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 xml:space="preserve">）或不必要的鼓勵性廢話。
</t>
    </r>
    <r>
      <rPr>
        <sz val="10"/>
        <color rgb="FF000000"/>
        <rFont val="Arial"/>
        <scheme val="minor"/>
      </rPr>
      <t>[</t>
    </r>
    <r>
      <rPr>
        <sz val="10"/>
        <color rgb="FF000000"/>
        <rFont val="Arial"/>
        <family val="3"/>
        <charset val="136"/>
        <scheme val="minor"/>
      </rPr>
      <t>分析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學生答案：</t>
    </r>
    <r>
      <rPr>
        <sz val="10"/>
        <color rgb="FF000000"/>
        <rFont val="Arial"/>
        <scheme val="minor"/>
      </rPr>
      <t xml:space="preserve">{user_answer}
</t>
    </r>
    <r>
      <rPr>
        <sz val="10"/>
        <color rgb="FF000000"/>
        <rFont val="Arial"/>
        <family val="3"/>
        <charset val="136"/>
        <scheme val="minor"/>
      </rPr>
      <t>正確答案：</t>
    </r>
    <r>
      <rPr>
        <sz val="10"/>
        <color rgb="FF000000"/>
        <rFont val="Arial"/>
        <scheme val="minor"/>
      </rPr>
      <t>{correct_answer}
[</t>
    </r>
    <r>
      <rPr>
        <sz val="10"/>
        <color rgb="FF000000"/>
        <rFont val="Arial"/>
        <family val="3"/>
        <charset val="136"/>
        <scheme val="minor"/>
      </rPr>
      <t>指導</t>
    </r>
    <r>
      <rPr>
        <sz val="10"/>
        <color rgb="FF000000"/>
        <rFont val="Arial"/>
        <scheme val="minor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</si>
</sst>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62"/>
  <sheetViews>
    <sheetView tabSelected="1" topLeftCell="F34" workbookViewId="0">
      <selection activeCell="N2" sqref="N2:N62"/>
    </sheetView>
  </sheetViews>
  <sheetFormatPr defaultColWidth="12.61328125" defaultRowHeight="13.85" customHeight="1" x14ac:dyDescent="0.3"/>
  <cols>
    <col min="7" max="7" width="134.921875" customWidth="1"/>
  </cols>
  <sheetData>
    <row r="1" spans="1:14" ht="13.8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313</v>
      </c>
      <c r="H1" s="1" t="s">
        <v>6</v>
      </c>
      <c r="I1" s="1" t="s">
        <v>7</v>
      </c>
      <c r="J1" s="1" t="s">
        <v>8</v>
      </c>
    </row>
    <row r="2" spans="1:14" ht="13.85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 t="s">
        <v>314</v>
      </c>
      <c r="H2" s="1">
        <v>5</v>
      </c>
      <c r="I2" s="1" t="b">
        <v>1</v>
      </c>
      <c r="J2" s="1">
        <v>4150</v>
      </c>
      <c r="N2" t="str">
        <f>G2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
如果學生錯誤，**直接**點出錯誤的核心概念。範例：[提醒學生「收入」是 +，「支出」是 -；「高於」是 +，「低於」是 -。]</v>
      </c>
    </row>
    <row r="3" spans="1:14" ht="13.85" customHeight="1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19</v>
      </c>
      <c r="G3" s="3" t="s">
        <v>315</v>
      </c>
      <c r="H3" s="1">
        <v>5</v>
      </c>
      <c r="I3" s="1" t="b">
        <v>1</v>
      </c>
      <c r="J3" s="1">
        <v>4160</v>
      </c>
      <c r="M3" s="5"/>
      <c r="N3" t="str">
        <f t="shared" ref="N3:N10" si="0">G3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[指導]如果錯誤，提醒學生「原點 0」的右邊是正數，左邊是負數。</v>
      </c>
    </row>
    <row r="4" spans="1:14" ht="13.85" customHeight="1" x14ac:dyDescent="0.3">
      <c r="A4" s="1" t="s">
        <v>20</v>
      </c>
      <c r="B4" s="1" t="s">
        <v>21</v>
      </c>
      <c r="C4" s="1" t="s">
        <v>22</v>
      </c>
      <c r="D4" s="1" t="s">
        <v>12</v>
      </c>
      <c r="E4" s="1" t="s">
        <v>23</v>
      </c>
      <c r="F4" s="1" t="s">
        <v>14</v>
      </c>
      <c r="G4" s="3" t="s">
        <v>316</v>
      </c>
      <c r="H4" s="1">
        <v>5</v>
      </c>
      <c r="I4" s="1" t="b">
        <v>1</v>
      </c>
      <c r="J4" s="1">
        <v>4170</v>
      </c>
      <c r="N4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[指導]如果錯誤，提醒學生在數線上，「越右邊」的數越大。例如 -3 &gt; -10。</v>
      </c>
    </row>
    <row r="5" spans="1:14" ht="13.85" customHeight="1" x14ac:dyDescent="0.3">
      <c r="A5" s="1" t="s">
        <v>24</v>
      </c>
      <c r="B5" s="1" t="s">
        <v>25</v>
      </c>
      <c r="C5" s="1" t="s">
        <v>26</v>
      </c>
      <c r="D5" s="1" t="s">
        <v>12</v>
      </c>
      <c r="E5" s="1" t="s">
        <v>27</v>
      </c>
      <c r="F5" s="1" t="s">
        <v>14</v>
      </c>
      <c r="G5" s="4" t="s">
        <v>317</v>
      </c>
      <c r="H5" s="1">
        <v>5</v>
      </c>
      <c r="I5" s="1" t="b">
        <v>1</v>
      </c>
      <c r="J5" s="1">
        <v>4180</v>
      </c>
      <c r="N5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[指導]如果錯誤，提醒學生「相反數」是在數線上與原點「距離相等」但「方向相反」的數。</v>
      </c>
    </row>
    <row r="6" spans="1:14" ht="13.85" customHeight="1" x14ac:dyDescent="0.3">
      <c r="A6" s="1" t="s">
        <v>28</v>
      </c>
      <c r="B6" s="1" t="s">
        <v>29</v>
      </c>
      <c r="C6" s="1" t="s">
        <v>30</v>
      </c>
      <c r="D6" s="1" t="s">
        <v>12</v>
      </c>
      <c r="E6" s="1" t="s">
        <v>31</v>
      </c>
      <c r="F6" s="1" t="s">
        <v>14</v>
      </c>
      <c r="G6" s="3" t="s">
        <v>318</v>
      </c>
      <c r="H6" s="1">
        <v>5</v>
      </c>
      <c r="I6" s="1" t="b">
        <v>1</v>
      </c>
      <c r="J6" s="1">
        <v>4190</v>
      </c>
      <c r="N6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[指導]如果錯誤，提醒學生「絕對值」代表「到 0 的距離」，所以 |-5| = 5，|5| = 5，結果永遠是正數或 0。</v>
      </c>
    </row>
    <row r="7" spans="1:14" ht="13.85" customHeight="1" x14ac:dyDescent="0.3">
      <c r="A7" s="1" t="s">
        <v>32</v>
      </c>
      <c r="B7" s="1" t="s">
        <v>33</v>
      </c>
      <c r="C7" s="1" t="s">
        <v>34</v>
      </c>
      <c r="D7" s="1" t="s">
        <v>12</v>
      </c>
      <c r="E7" s="1" t="s">
        <v>35</v>
      </c>
      <c r="F7" s="1" t="s">
        <v>14</v>
      </c>
      <c r="G7" s="4" t="s">
        <v>319</v>
      </c>
      <c r="H7" s="1">
        <v>5</v>
      </c>
      <c r="I7" s="1" t="b">
        <v>1</v>
      </c>
      <c r="J7" s="1">
        <v>4200</v>
      </c>
      <c r="N7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[指導]如果錯誤，提醒學生先將兩數都取絕對值（都變成正數）後，再比較大小。</v>
      </c>
    </row>
    <row r="8" spans="1:14" ht="13.85" customHeight="1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14</v>
      </c>
      <c r="G8" s="3" t="s">
        <v>320</v>
      </c>
      <c r="H8" s="1">
        <v>5</v>
      </c>
      <c r="I8" s="1" t="b">
        <v>1</v>
      </c>
      <c r="J8" s="1">
        <v>4210</v>
      </c>
      <c r="N8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(-2) = -(5+2) = -7 (欠 5 元再欠 2 元，共欠 7 元)。</v>
      </c>
    </row>
    <row r="9" spans="1:14" ht="13.85" customHeight="1" x14ac:dyDescent="0.3">
      <c r="A9" s="1" t="s">
        <v>41</v>
      </c>
      <c r="B9" s="1" t="s">
        <v>42</v>
      </c>
      <c r="C9" s="1" t="s">
        <v>43</v>
      </c>
      <c r="D9" s="1" t="s">
        <v>39</v>
      </c>
      <c r="E9" s="1" t="s">
        <v>44</v>
      </c>
      <c r="F9" s="1" t="s">
        <v>14</v>
      </c>
      <c r="G9" s="3" t="s">
        <v>321</v>
      </c>
      <c r="H9" s="1">
        <v>5</v>
      </c>
      <c r="I9" s="1" t="b">
        <v>1</v>
      </c>
      <c r="J9" s="1">
        <v>4220</v>
      </c>
      <c r="N9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(+2) = -(5-2) = -3 (欠 5 元還 2 元，還欠 3 元)。</v>
      </c>
    </row>
    <row r="10" spans="1:14" ht="13.85" customHeight="1" x14ac:dyDescent="0.3">
      <c r="A10" s="1" t="s">
        <v>45</v>
      </c>
      <c r="B10" s="1" t="s">
        <v>46</v>
      </c>
      <c r="C10" s="1" t="s">
        <v>47</v>
      </c>
      <c r="D10" s="1" t="s">
        <v>39</v>
      </c>
      <c r="E10" s="1" t="s">
        <v>48</v>
      </c>
      <c r="F10" s="1" t="s">
        <v>14</v>
      </c>
      <c r="G10" s="4" t="s">
        <v>322</v>
      </c>
      <c r="H10" s="1">
        <v>5</v>
      </c>
      <c r="I10" s="1" t="b">
        <v>1</v>
      </c>
      <c r="J10" s="1">
        <v>4230</v>
      </c>
      <c r="N10" t="str">
        <f t="shared" si="0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[指導]如果錯誤，引導學生先將「正數」放一起，「負數」放一起，再合併計算。</v>
      </c>
    </row>
    <row r="11" spans="1:14" ht="13.85" customHeight="1" x14ac:dyDescent="0.3">
      <c r="A11" s="1" t="s">
        <v>49</v>
      </c>
      <c r="B11" s="1" t="s">
        <v>50</v>
      </c>
      <c r="C11" s="1" t="s">
        <v>51</v>
      </c>
      <c r="D11" s="1" t="s">
        <v>39</v>
      </c>
      <c r="E11" s="1" t="s">
        <v>52</v>
      </c>
      <c r="F11" s="1" t="s">
        <v>14</v>
      </c>
      <c r="G11" s="1" t="s">
        <v>53</v>
      </c>
      <c r="H11" s="1">
        <v>5</v>
      </c>
      <c r="I11" s="1" t="b">
        <v>1</v>
      </c>
      <c r="J11" s="1">
        <v>4240</v>
      </c>
      <c r="L11" t="str">
        <f>RIGHT(G11,LEN(G11)-43)</f>
        <v>如果錯誤，提醒學生「減法」就是「加上相反數」。例如 5 - (-3) = 5 + (+3) = 8。</v>
      </c>
      <c r="M11" s="5" t="s">
        <v>323</v>
      </c>
      <c r="N11" t="str">
        <f>M11&amp;L11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[指導]如果錯誤，提醒學生「減法」就是「加上相反數」。例如 5 - (-3) = 5 + (+3) = 8。</v>
      </c>
    </row>
    <row r="12" spans="1:14" ht="13.85" customHeight="1" x14ac:dyDescent="0.3">
      <c r="A12" s="1" t="s">
        <v>54</v>
      </c>
      <c r="B12" s="1" t="s">
        <v>55</v>
      </c>
      <c r="C12" s="1" t="s">
        <v>56</v>
      </c>
      <c r="D12" s="1" t="s">
        <v>39</v>
      </c>
      <c r="E12" s="1" t="s">
        <v>57</v>
      </c>
      <c r="F12" s="1" t="s">
        <v>14</v>
      </c>
      <c r="G12" s="1" t="s">
        <v>58</v>
      </c>
      <c r="H12" s="1">
        <v>5</v>
      </c>
      <c r="I12" s="1" t="b">
        <v>1</v>
      </c>
      <c r="J12" s="1">
        <v>4250</v>
      </c>
      <c r="L12" t="str">
        <f t="shared" ref="L12:L62" si="1">RIGHT(G12,LEN(G12)-43)</f>
        <v>如果錯誤，提醒學生距離 = |大數 - 小數|，或 |a - b|。</v>
      </c>
      <c r="M12" s="5" t="s">
        <v>323</v>
      </c>
      <c r="N12" t="str">
        <f t="shared" ref="N12:N62" si="2">M12&amp;L12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 = |大數 - 小數|，或 |a - b|。</v>
      </c>
    </row>
    <row r="13" spans="1:14" ht="13.85" customHeight="1" x14ac:dyDescent="0.3">
      <c r="A13" s="1" t="s">
        <v>59</v>
      </c>
      <c r="B13" s="1" t="s">
        <v>60</v>
      </c>
      <c r="C13" s="1" t="s">
        <v>61</v>
      </c>
      <c r="D13" s="1" t="s">
        <v>39</v>
      </c>
      <c r="E13" s="1" t="s">
        <v>62</v>
      </c>
      <c r="F13" s="1" t="s">
        <v>14</v>
      </c>
      <c r="G13" s="1" t="s">
        <v>63</v>
      </c>
      <c r="H13" s="1">
        <v>5</v>
      </c>
      <c r="I13" s="1" t="b">
        <v>1</v>
      </c>
      <c r="J13" s="1">
        <v>4260</v>
      </c>
      <c r="L13" t="str">
        <f t="shared" si="1"/>
        <v>如果錯誤，提醒學生中點坐標 = (兩點坐標相加) / 2。</v>
      </c>
      <c r="M13" s="5" t="s">
        <v>323</v>
      </c>
      <c r="N1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[指導]如果錯誤，提醒學生中點坐標 = (兩點坐標相加) / 2。</v>
      </c>
    </row>
    <row r="14" spans="1:14" ht="13.85" customHeight="1" x14ac:dyDescent="0.3">
      <c r="A14" s="1" t="s">
        <v>64</v>
      </c>
      <c r="B14" s="1" t="s">
        <v>65</v>
      </c>
      <c r="C14" s="1" t="s">
        <v>66</v>
      </c>
      <c r="D14" s="1" t="s">
        <v>39</v>
      </c>
      <c r="E14" s="1" t="s">
        <v>67</v>
      </c>
      <c r="F14" s="1" t="s">
        <v>14</v>
      </c>
      <c r="G14" s="1" t="s">
        <v>68</v>
      </c>
      <c r="H14" s="1">
        <v>5</v>
      </c>
      <c r="I14" s="1" t="b">
        <v>1</v>
      </c>
      <c r="J14" s="1">
        <v>4270</v>
      </c>
      <c r="L14" t="str">
        <f t="shared" si="1"/>
        <v>如果錯誤，提醒學生「負負得正」。例如 (-5) × (-3) = +15。</v>
      </c>
      <c r="M14" s="5" t="s">
        <v>323</v>
      </c>
      <c r="N1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[指導]如果錯誤，提醒學生「負負得正」。例如 (-5) × (-3) = +15。</v>
      </c>
    </row>
    <row r="15" spans="1:14" ht="13.85" customHeight="1" x14ac:dyDescent="0.3">
      <c r="A15" s="1" t="s">
        <v>69</v>
      </c>
      <c r="B15" s="1" t="s">
        <v>70</v>
      </c>
      <c r="C15" s="1" t="s">
        <v>71</v>
      </c>
      <c r="D15" s="1" t="s">
        <v>39</v>
      </c>
      <c r="E15" s="1" t="s">
        <v>72</v>
      </c>
      <c r="F15" s="1" t="s">
        <v>14</v>
      </c>
      <c r="G15" s="1" t="s">
        <v>73</v>
      </c>
      <c r="H15" s="1">
        <v>5</v>
      </c>
      <c r="I15" s="1" t="b">
        <v>1</v>
      </c>
      <c r="J15" s="1">
        <v>4280</v>
      </c>
      <c r="L15" t="str">
        <f t="shared" si="1"/>
        <v>如果錯誤，引導學生先計算「負號」的總個數（奇數個為負，偶數個為正），再計算數字乘積。</v>
      </c>
      <c r="M15" s="5" t="s">
        <v>323</v>
      </c>
      <c r="N1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[指導]如果錯誤，引導學生先計算「負號」的總個數（奇數個為負，偶數個為正），再計算數字乘積。</v>
      </c>
    </row>
    <row r="16" spans="1:14" ht="13.85" customHeight="1" x14ac:dyDescent="0.3">
      <c r="A16" s="1" t="s">
        <v>74</v>
      </c>
      <c r="B16" s="1" t="s">
        <v>75</v>
      </c>
      <c r="C16" s="1" t="s">
        <v>76</v>
      </c>
      <c r="D16" s="1" t="s">
        <v>39</v>
      </c>
      <c r="E16" s="1" t="s">
        <v>77</v>
      </c>
      <c r="F16" s="1" t="s">
        <v>14</v>
      </c>
      <c r="G16" s="1" t="s">
        <v>78</v>
      </c>
      <c r="H16" s="1">
        <v>5</v>
      </c>
      <c r="I16" s="1" t="b">
        <v>1</v>
      </c>
      <c r="J16" s="1">
        <v>4290</v>
      </c>
      <c r="L16" t="str">
        <f t="shared" si="1"/>
        <v>如果錯誤，提醒學生「同號得正、異號得負」。例如 (-15) ÷ (-3) = +5。</v>
      </c>
      <c r="M16" s="5" t="s">
        <v>323</v>
      </c>
      <c r="N1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[指導]如果錯誤，提醒學生「同號得正、異號得負」。例如 (-15) ÷ (-3) = +5。</v>
      </c>
    </row>
    <row r="17" spans="1:14" ht="13.85" customHeight="1" x14ac:dyDescent="0.3">
      <c r="A17" s="1" t="s">
        <v>79</v>
      </c>
      <c r="B17" s="1" t="s">
        <v>80</v>
      </c>
      <c r="C17" s="1" t="s">
        <v>81</v>
      </c>
      <c r="D17" s="1" t="s">
        <v>39</v>
      </c>
      <c r="E17" s="1" t="s">
        <v>82</v>
      </c>
      <c r="F17" s="1" t="s">
        <v>14</v>
      </c>
      <c r="G17" s="1" t="s">
        <v>83</v>
      </c>
      <c r="H17" s="1">
        <v>5</v>
      </c>
      <c r="I17" s="1" t="b">
        <v>1</v>
      </c>
      <c r="J17" s="1">
        <v>4300</v>
      </c>
      <c r="L17" t="str">
        <f t="shared" si="1"/>
        <v>如果錯誤，提醒學生「先乘除，後加減」，並注意正負號。</v>
      </c>
      <c r="M17" s="5" t="s">
        <v>323</v>
      </c>
      <c r="N1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[指導]如果錯誤，提醒學生「先乘除，後加減」，並注意正負號。</v>
      </c>
    </row>
    <row r="18" spans="1:14" ht="13.85" customHeight="1" x14ac:dyDescent="0.3">
      <c r="A18" s="1" t="s">
        <v>84</v>
      </c>
      <c r="B18" s="1" t="s">
        <v>85</v>
      </c>
      <c r="C18" s="1" t="s">
        <v>86</v>
      </c>
      <c r="D18" s="1" t="s">
        <v>39</v>
      </c>
      <c r="E18" s="1" t="s">
        <v>87</v>
      </c>
      <c r="F18" s="1" t="s">
        <v>14</v>
      </c>
      <c r="G18" s="1" t="s">
        <v>88</v>
      </c>
      <c r="H18" s="1">
        <v>5</v>
      </c>
      <c r="I18" s="1" t="b">
        <v>1</v>
      </c>
      <c r="J18" s="1">
        <v>4310</v>
      </c>
      <c r="L18" t="str">
        <f t="shared" si="1"/>
        <v>如果錯誤，提醒學生 a × (b + c) = a×b + a×c。檢查符號是否分配正確。</v>
      </c>
      <c r="M18" s="5" t="s">
        <v>323</v>
      </c>
      <c r="N1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× (b + c) = a×b + a×c。檢查符號是否分配正確。</v>
      </c>
    </row>
    <row r="19" spans="1:14" ht="13.85" customHeight="1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14</v>
      </c>
      <c r="G19" s="1" t="s">
        <v>94</v>
      </c>
      <c r="H19" s="1">
        <v>5</v>
      </c>
      <c r="I19" s="1" t="b">
        <v>1</v>
      </c>
      <c r="J19" s="1">
        <v>4320</v>
      </c>
      <c r="L19" t="str">
        <f t="shared" si="1"/>
        <v>如果錯誤，提醒學生 3⁴ = 3×3×3×3 = 81。</v>
      </c>
      <c r="M19" s="5" t="s">
        <v>323</v>
      </c>
      <c r="N1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3⁴ = 3×3×3×3 = 81。</v>
      </c>
    </row>
    <row r="20" spans="1:14" ht="13.85" customHeight="1" x14ac:dyDescent="0.3">
      <c r="A20" s="1" t="s">
        <v>95</v>
      </c>
      <c r="B20" s="1" t="s">
        <v>96</v>
      </c>
      <c r="C20" s="1" t="s">
        <v>97</v>
      </c>
      <c r="D20" s="1" t="s">
        <v>92</v>
      </c>
      <c r="E20" s="1" t="s">
        <v>98</v>
      </c>
      <c r="F20" s="1" t="s">
        <v>14</v>
      </c>
      <c r="G20" s="1" t="s">
        <v>99</v>
      </c>
      <c r="H20" s="1">
        <v>5</v>
      </c>
      <c r="I20" s="1" t="b">
        <v>1</v>
      </c>
      <c r="J20" s="1">
        <v>4330</v>
      </c>
      <c r="L20" t="str">
        <f t="shared" si="1"/>
        <v>如果錯誤，提醒學生 (-2)⁴ = +16（偶次）但 -2⁴ = - (2⁴) = -16（括號是關鍵）。</v>
      </c>
      <c r="M20" s="5" t="s">
        <v>323</v>
      </c>
      <c r="N2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(-2)⁴ = +16（偶次）但 -2⁴ = - (2⁴) = -16（括號是關鍵）。</v>
      </c>
    </row>
    <row r="21" spans="1:14" ht="13.85" customHeight="1" x14ac:dyDescent="0.3">
      <c r="A21" s="1" t="s">
        <v>100</v>
      </c>
      <c r="B21" s="1" t="s">
        <v>101</v>
      </c>
      <c r="C21" s="1" t="s">
        <v>102</v>
      </c>
      <c r="D21" s="1" t="s">
        <v>92</v>
      </c>
      <c r="E21" s="1" t="s">
        <v>103</v>
      </c>
      <c r="F21" s="1" t="s">
        <v>14</v>
      </c>
      <c r="G21" s="1" t="s">
        <v>104</v>
      </c>
      <c r="H21" s="1">
        <v>5</v>
      </c>
      <c r="I21" s="1" t="b">
        <v>1</v>
      </c>
      <c r="J21" s="1">
        <v>4340</v>
      </c>
      <c r="L21" t="str">
        <f t="shared" si="1"/>
        <v>如果錯誤，提醒學生「先算次方」，再「乘除」，最後「加減」。</v>
      </c>
      <c r="M21" s="5" t="s">
        <v>323</v>
      </c>
      <c r="N2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[指導]如果錯誤，提醒學生「先算次方」，再「乘除」，最後「加減」。</v>
      </c>
    </row>
    <row r="22" spans="1:14" ht="13.85" customHeight="1" x14ac:dyDescent="0.3">
      <c r="A22" s="1" t="s">
        <v>105</v>
      </c>
      <c r="B22" s="1" t="s">
        <v>106</v>
      </c>
      <c r="C22" s="1" t="s">
        <v>107</v>
      </c>
      <c r="D22" s="1" t="s">
        <v>92</v>
      </c>
      <c r="E22" s="1" t="s">
        <v>108</v>
      </c>
      <c r="F22" s="1" t="s">
        <v>14</v>
      </c>
      <c r="G22" s="1" t="s">
        <v>109</v>
      </c>
      <c r="H22" s="1">
        <v>5</v>
      </c>
      <c r="I22" s="1" t="b">
        <v>1</v>
      </c>
      <c r="J22" s="1">
        <v>4350</v>
      </c>
      <c r="L22" t="str">
        <f t="shared" si="1"/>
        <v>如果錯誤，提醒學生 10ⁿ (n&gt;0) 是 1 後面 n 個 0；10⁻ⁿ (n&gt;0) 是小數點後第 n 位為 1。</v>
      </c>
      <c r="M22" s="5" t="s">
        <v>323</v>
      </c>
      <c r="N2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10ⁿ (n&gt;0) 是 1 後面 n 個 0；10⁻ⁿ (n&gt;0) 是小數點後第 n 位為 1。</v>
      </c>
    </row>
    <row r="23" spans="1:14" ht="13.85" customHeight="1" x14ac:dyDescent="0.3">
      <c r="A23" s="1" t="s">
        <v>110</v>
      </c>
      <c r="B23" s="1" t="s">
        <v>111</v>
      </c>
      <c r="C23" s="1" t="s">
        <v>112</v>
      </c>
      <c r="D23" s="1" t="s">
        <v>92</v>
      </c>
      <c r="E23" s="1" t="s">
        <v>113</v>
      </c>
      <c r="F23" s="1" t="s">
        <v>14</v>
      </c>
      <c r="G23" s="1" t="s">
        <v>114</v>
      </c>
      <c r="H23" s="1">
        <v>5</v>
      </c>
      <c r="I23" s="1" t="b">
        <v>1</v>
      </c>
      <c r="J23" s="1">
        <v>4360</v>
      </c>
      <c r="L23" t="str">
        <f t="shared" si="1"/>
        <v>如果錯誤，提醒學生 a 必須在 1 到 10 之間（1 ≤ a &lt; 10），並檢查 n (小數點移動位數) 是否正確。</v>
      </c>
      <c r="M23" s="5" t="s">
        <v>323</v>
      </c>
      <c r="N2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必須在 1 到 10 之間（1 ≤ a &lt; 10），並檢查 n (小數點移動位數) 是否正確。</v>
      </c>
    </row>
    <row r="24" spans="1:14" ht="13.85" customHeight="1" x14ac:dyDescent="0.3">
      <c r="A24" s="1" t="s">
        <v>115</v>
      </c>
      <c r="B24" s="1" t="s">
        <v>116</v>
      </c>
      <c r="C24" s="1" t="s">
        <v>117</v>
      </c>
      <c r="D24" s="1" t="s">
        <v>92</v>
      </c>
      <c r="E24" s="1" t="s">
        <v>118</v>
      </c>
      <c r="F24" s="1" t="s">
        <v>14</v>
      </c>
      <c r="G24" s="1" t="s">
        <v>119</v>
      </c>
      <c r="H24" s="1">
        <v>5</v>
      </c>
      <c r="I24" s="1" t="b">
        <v>1</v>
      </c>
      <c r="J24" s="1">
        <v>4370</v>
      </c>
      <c r="L24" t="str">
        <f t="shared" si="1"/>
        <v>如果錯誤，提醒學生先比「指數 n」，n 越大，數越大。若 n 相同，再比前面的「數字 a」。</v>
      </c>
      <c r="M24" s="5" t="s">
        <v>323</v>
      </c>
      <c r="N2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[指導]如果錯誤，提醒學生先比「指數 n」，n 越大，數越大。若 n 相同，再比前面的「數字 a」。</v>
      </c>
    </row>
    <row r="25" spans="1:14" ht="13.85" customHeight="1" x14ac:dyDescent="0.3">
      <c r="A25" s="1" t="s">
        <v>120</v>
      </c>
      <c r="B25" s="1" t="s">
        <v>121</v>
      </c>
      <c r="C25" s="1" t="s">
        <v>122</v>
      </c>
      <c r="D25" s="1" t="s">
        <v>122</v>
      </c>
      <c r="E25" s="1" t="s">
        <v>123</v>
      </c>
      <c r="F25" s="1" t="s">
        <v>14</v>
      </c>
      <c r="G25" s="1" t="s">
        <v>124</v>
      </c>
      <c r="H25" s="1">
        <v>5</v>
      </c>
      <c r="I25" s="1" t="b">
        <v>1</v>
      </c>
      <c r="J25" s="1">
        <v>4380</v>
      </c>
      <c r="L25" t="str">
        <f t="shared" si="1"/>
        <v>如果錯誤，提醒學生若 a | b (a 整除 b)，則 a 是 b 的因數，b 是 a 的倍數。</v>
      </c>
      <c r="M25" s="5" t="s">
        <v>323</v>
      </c>
      <c r="N2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 | b (a 整除 b)，則 a 是 b 的因數，b 是 a 的倍數。</v>
      </c>
    </row>
    <row r="26" spans="1:14" ht="13.85" customHeight="1" x14ac:dyDescent="0.3">
      <c r="A26" s="1" t="s">
        <v>125</v>
      </c>
      <c r="B26" s="1" t="s">
        <v>126</v>
      </c>
      <c r="C26" s="1" t="s">
        <v>127</v>
      </c>
      <c r="D26" s="1" t="s">
        <v>122</v>
      </c>
      <c r="E26" s="1" t="s">
        <v>128</v>
      </c>
      <c r="F26" s="1" t="s">
        <v>14</v>
      </c>
      <c r="G26" s="1" t="s">
        <v>129</v>
      </c>
      <c r="H26" s="1">
        <v>5</v>
      </c>
      <c r="I26" s="1" t="b">
        <v>1</v>
      </c>
      <c r="J26" s="1">
        <v>4390</v>
      </c>
      <c r="L26" t="str">
        <f t="shared" si="1"/>
        <v>如果錯誤，提醒學生「3 的倍數：數字和為 3 的倍數」、「4 的倍數：末兩位為 4 的倍數」、「11 的倍數：(奇位和) - (偶位和) 為 11 的倍數或 0」。</v>
      </c>
      <c r="M26" s="5" t="s">
        <v>323</v>
      </c>
      <c r="N2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[指導]如果錯誤，提醒學生「3 的倍數：數字和為 3 的倍數」、「4 的倍數：末兩位為 4 的倍數」、「11 的倍數：(奇位和) - (偶位和) 為 11 的倍數或 0」。</v>
      </c>
    </row>
    <row r="27" spans="1:14" ht="13.85" customHeight="1" x14ac:dyDescent="0.3">
      <c r="A27" s="1" t="s">
        <v>130</v>
      </c>
      <c r="B27" s="1" t="s">
        <v>131</v>
      </c>
      <c r="C27" s="1" t="s">
        <v>132</v>
      </c>
      <c r="D27" s="1" t="s">
        <v>122</v>
      </c>
      <c r="E27" s="1" t="s">
        <v>133</v>
      </c>
      <c r="F27" s="1" t="s">
        <v>14</v>
      </c>
      <c r="G27" s="1" t="s">
        <v>134</v>
      </c>
      <c r="H27" s="1">
        <v>5</v>
      </c>
      <c r="I27" s="1" t="b">
        <v>1</v>
      </c>
      <c r="J27" s="1">
        <v>4400</v>
      </c>
      <c r="L27" t="str">
        <f t="shared" si="1"/>
        <v>如果錯誤，提醒學生「質數」是除了 1 和自己以外沒有別的正因數。「1」不是質數也不是合數。「2」是最小的質數。</v>
      </c>
      <c r="M27" s="5" t="s">
        <v>323</v>
      </c>
      <c r="N2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[指導]如果錯誤，提醒學生「質數」是除了 1 和自己以外沒有別的正因數。「1」不是質數也不是合數。「2」是最小的質數。</v>
      </c>
    </row>
    <row r="28" spans="1:14" ht="13.85" customHeight="1" x14ac:dyDescent="0.3">
      <c r="A28" s="1" t="s">
        <v>135</v>
      </c>
      <c r="B28" s="1" t="s">
        <v>136</v>
      </c>
      <c r="C28" s="1" t="s">
        <v>137</v>
      </c>
      <c r="D28" s="1" t="s">
        <v>122</v>
      </c>
      <c r="E28" s="1" t="s">
        <v>138</v>
      </c>
      <c r="F28" s="1" t="s">
        <v>14</v>
      </c>
      <c r="G28" s="1" t="s">
        <v>139</v>
      </c>
      <c r="H28" s="1">
        <v>5</v>
      </c>
      <c r="I28" s="1" t="b">
        <v>1</v>
      </c>
      <c r="J28" s="1">
        <v>4410</v>
      </c>
      <c r="L28" t="str">
        <f t="shared" si="1"/>
        <v>如果錯誤，引導學生使用「短除法」，且除數必須是「質數」。</v>
      </c>
      <c r="M28" s="5" t="s">
        <v>323</v>
      </c>
      <c r="N2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[指導]如果錯誤，引導學生使用「短除法」，且除數必須是「質數」。</v>
      </c>
    </row>
    <row r="29" spans="1:14" ht="13.85" customHeight="1" x14ac:dyDescent="0.3">
      <c r="A29" s="1" t="s">
        <v>140</v>
      </c>
      <c r="B29" s="1" t="s">
        <v>141</v>
      </c>
      <c r="C29" s="1" t="s">
        <v>142</v>
      </c>
      <c r="D29" s="1" t="s">
        <v>122</v>
      </c>
      <c r="E29" s="1" t="s">
        <v>143</v>
      </c>
      <c r="F29" s="1" t="s">
        <v>14</v>
      </c>
      <c r="G29" s="1" t="s">
        <v>144</v>
      </c>
      <c r="H29" s="1">
        <v>5</v>
      </c>
      <c r="I29" s="1" t="b">
        <v>1</v>
      </c>
      <c r="J29" s="1">
        <v>4420</v>
      </c>
      <c r="L29" t="str">
        <f t="shared" si="1"/>
        <v>如果錯誤，提醒學生「標準分解式」要將所有質因數由小到大排列，並用「次方」表示。</v>
      </c>
      <c r="M29" s="5" t="s">
        <v>323</v>
      </c>
      <c r="N2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[指導]如果錯誤，提醒學生「標準分解式」要將所有質因數由小到大排列，並用「次方」表示。</v>
      </c>
    </row>
    <row r="30" spans="1:14" ht="13.85" customHeight="1" x14ac:dyDescent="0.3">
      <c r="A30" s="1" t="s">
        <v>145</v>
      </c>
      <c r="B30" s="1" t="s">
        <v>146</v>
      </c>
      <c r="C30" s="1" t="s">
        <v>147</v>
      </c>
      <c r="D30" s="1" t="s">
        <v>122</v>
      </c>
      <c r="E30" s="1" t="s">
        <v>148</v>
      </c>
      <c r="F30" s="1" t="s">
        <v>14</v>
      </c>
      <c r="G30" s="1" t="s">
        <v>149</v>
      </c>
      <c r="H30" s="1">
        <v>5</v>
      </c>
      <c r="I30" s="1" t="b">
        <v>1</v>
      </c>
      <c r="J30" s="1">
        <v>4430</v>
      </c>
      <c r="L30" t="str">
        <f t="shared" si="1"/>
        <v>如果錯誤，引導學生分別列出兩數的「所有因數」，再圈出「共同」的因數，其中最大的就是 GCF。</v>
      </c>
      <c r="M30" s="5" t="s">
        <v>323</v>
      </c>
      <c r="N3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[指導]如果錯誤，引導學生分別列出兩數的「所有因數」，再圈出「共同」的因數，其中最大的就是 GCF。</v>
      </c>
    </row>
    <row r="31" spans="1:14" ht="13.85" customHeight="1" x14ac:dyDescent="0.3">
      <c r="A31" s="1" t="s">
        <v>150</v>
      </c>
      <c r="B31" s="1" t="s">
        <v>151</v>
      </c>
      <c r="C31" s="1" t="s">
        <v>152</v>
      </c>
      <c r="D31" s="1" t="s">
        <v>122</v>
      </c>
      <c r="E31" s="1" t="s">
        <v>153</v>
      </c>
      <c r="F31" s="1" t="s">
        <v>14</v>
      </c>
      <c r="G31" s="1" t="s">
        <v>154</v>
      </c>
      <c r="H31" s="1">
        <v>5</v>
      </c>
      <c r="I31" s="1" t="b">
        <v>1</v>
      </c>
      <c r="J31" s="1">
        <v>4440</v>
      </c>
      <c r="L31" t="str">
        <f t="shared" si="1"/>
        <v>如果錯誤，提醒學生「互質」代表兩數的最大公因數為 1。</v>
      </c>
      <c r="M31" s="5" t="s">
        <v>323</v>
      </c>
      <c r="N3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[指導]如果錯誤，提醒學生「互質」代表兩數的最大公因數為 1。</v>
      </c>
    </row>
    <row r="32" spans="1:14" ht="13.85" customHeight="1" x14ac:dyDescent="0.3">
      <c r="A32" s="1" t="s">
        <v>155</v>
      </c>
      <c r="B32" s="1" t="s">
        <v>156</v>
      </c>
      <c r="C32" s="1" t="s">
        <v>157</v>
      </c>
      <c r="D32" s="1" t="s">
        <v>122</v>
      </c>
      <c r="E32" s="1" t="s">
        <v>158</v>
      </c>
      <c r="F32" s="1" t="s">
        <v>14</v>
      </c>
      <c r="G32" s="1" t="s">
        <v>159</v>
      </c>
      <c r="H32" s="1">
        <v>5</v>
      </c>
      <c r="I32" s="1" t="b">
        <v>1</v>
      </c>
      <c r="J32" s="1">
        <v>4450</v>
      </c>
      <c r="L32" t="str">
        <f t="shared" si="1"/>
        <v>如果錯誤，提醒學生求 GCF (最大公因數) 時，要取「共同」的質因數，且次方要取「最低」的。</v>
      </c>
      <c r="M32" s="5" t="s">
        <v>323</v>
      </c>
      <c r="N3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GCF (最大公因數) 時，要取「共同」的質因數，且次方要取「最低」的。</v>
      </c>
    </row>
    <row r="33" spans="1:14" ht="13.85" customHeight="1" x14ac:dyDescent="0.3">
      <c r="A33" s="1" t="s">
        <v>160</v>
      </c>
      <c r="B33" s="1" t="s">
        <v>161</v>
      </c>
      <c r="C33" s="1" t="s">
        <v>162</v>
      </c>
      <c r="D33" s="1" t="s">
        <v>122</v>
      </c>
      <c r="E33" s="1" t="s">
        <v>163</v>
      </c>
      <c r="F33" s="1" t="s">
        <v>14</v>
      </c>
      <c r="G33" s="1" t="s">
        <v>164</v>
      </c>
      <c r="H33" s="1">
        <v>5</v>
      </c>
      <c r="I33" s="1" t="b">
        <v>1</v>
      </c>
      <c r="J33" s="1">
        <v>4460</v>
      </c>
      <c r="L33" t="str">
        <f t="shared" si="1"/>
        <v>如果錯誤，提醒學生短除法求 GCF 時，除數必須是「公因數」，直到「互質」為止，GCF 為「左側」除數相乘。</v>
      </c>
      <c r="M33" s="5" t="s">
        <v>323</v>
      </c>
      <c r="N3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GCF 時，除數必須是「公因數」，直到「互質」為止，GCF 為「左側」除數相乘。</v>
      </c>
    </row>
    <row r="34" spans="1:14" ht="13.85" customHeight="1" x14ac:dyDescent="0.3">
      <c r="A34" s="1" t="s">
        <v>165</v>
      </c>
      <c r="B34" s="1" t="s">
        <v>166</v>
      </c>
      <c r="C34" s="1" t="s">
        <v>167</v>
      </c>
      <c r="D34" s="1" t="s">
        <v>122</v>
      </c>
      <c r="E34" s="1" t="s">
        <v>168</v>
      </c>
      <c r="F34" s="1" t="s">
        <v>14</v>
      </c>
      <c r="G34" s="1" t="s">
        <v>169</v>
      </c>
      <c r="H34" s="1">
        <v>5</v>
      </c>
      <c r="I34" s="1" t="b">
        <v>1</v>
      </c>
      <c r="J34" s="1">
        <v>4470</v>
      </c>
      <c r="L34" t="str">
        <f t="shared" si="1"/>
        <v>如果錯誤，引導學生分別列出兩數的「倍數」，再圈出「共同」的倍數，其中最小的就是 LCM。</v>
      </c>
      <c r="M34" s="5" t="s">
        <v>323</v>
      </c>
      <c r="N3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[指導]如果錯誤，引導學生分別列出兩數的「倍數」，再圈出「共同」的倍數，其中最小的就是 LCM。</v>
      </c>
    </row>
    <row r="35" spans="1:14" ht="13.85" customHeight="1" x14ac:dyDescent="0.3">
      <c r="A35" s="1" t="s">
        <v>170</v>
      </c>
      <c r="B35" s="1" t="s">
        <v>171</v>
      </c>
      <c r="C35" s="1" t="s">
        <v>172</v>
      </c>
      <c r="D35" s="1" t="s">
        <v>122</v>
      </c>
      <c r="E35" s="1" t="s">
        <v>173</v>
      </c>
      <c r="F35" s="1" t="s">
        <v>14</v>
      </c>
      <c r="G35" s="1" t="s">
        <v>174</v>
      </c>
      <c r="H35" s="1">
        <v>5</v>
      </c>
      <c r="I35" s="1" t="b">
        <v>1</v>
      </c>
      <c r="J35" s="1">
        <v>4480</v>
      </c>
      <c r="L35" t="str">
        <f t="shared" si="1"/>
        <v>如果錯誤，提醒學生求 LCM (最小公倍數) 時，要取「所有」出現過的質因數，且次方要取「最高」的。</v>
      </c>
      <c r="M35" s="5" t="s">
        <v>323</v>
      </c>
      <c r="N3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LCM (最小公倍數) 時，要取「所有」出現過的質因數，且次方要取「最高」的。</v>
      </c>
    </row>
    <row r="36" spans="1:14" ht="13.85" customHeight="1" x14ac:dyDescent="0.3">
      <c r="A36" s="1" t="s">
        <v>175</v>
      </c>
      <c r="B36" s="1" t="s">
        <v>176</v>
      </c>
      <c r="C36" s="1" t="s">
        <v>177</v>
      </c>
      <c r="D36" s="1" t="s">
        <v>122</v>
      </c>
      <c r="E36" s="1" t="s">
        <v>178</v>
      </c>
      <c r="F36" s="1" t="s">
        <v>14</v>
      </c>
      <c r="G36" s="1" t="s">
        <v>179</v>
      </c>
      <c r="H36" s="1">
        <v>5</v>
      </c>
      <c r="I36" s="1" t="b">
        <v>1</v>
      </c>
      <c r="J36" s="1">
        <v>4490</v>
      </c>
      <c r="L36" t="str">
        <f t="shared" si="1"/>
        <v>如果錯誤，提醒學生短除法求 LCM 時，除數只要「兩兩互質」即可，LCM 為「左側」與「下方」所有數相乘。</v>
      </c>
      <c r="M36" s="5" t="s">
        <v>323</v>
      </c>
      <c r="N3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LCM 時，除數只要「兩兩互質」即可，LCM 為「左側」與「下方」所有數相乘。</v>
      </c>
    </row>
    <row r="37" spans="1:14" ht="13.85" customHeight="1" x14ac:dyDescent="0.3">
      <c r="A37" s="1" t="s">
        <v>180</v>
      </c>
      <c r="B37" s="1" t="s">
        <v>181</v>
      </c>
      <c r="C37" s="1" t="s">
        <v>182</v>
      </c>
      <c r="D37" s="1" t="s">
        <v>122</v>
      </c>
      <c r="E37" s="1" t="s">
        <v>183</v>
      </c>
      <c r="F37" s="1" t="s">
        <v>14</v>
      </c>
      <c r="G37" s="1" t="s">
        <v>184</v>
      </c>
      <c r="H37" s="1">
        <v>5</v>
      </c>
      <c r="I37" s="1" t="b">
        <v>1</v>
      </c>
      <c r="J37" s="1">
        <v>4500</v>
      </c>
      <c r="L37" t="str">
        <f t="shared" si="1"/>
        <v>如果錯誤，提醒學生 (a, b) × a,b = a × b (兩數 GCF × LCM = 兩數乘積)。</v>
      </c>
      <c r="M37" s="5" t="s">
        <v>323</v>
      </c>
      <c r="N3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× a,b = a × b (兩數 GCF × LCM = 兩數乘積)。</v>
      </c>
    </row>
    <row r="38" spans="1:14" ht="13.85" customHeight="1" x14ac:dyDescent="0.3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14</v>
      </c>
      <c r="G38" s="1" t="s">
        <v>190</v>
      </c>
      <c r="H38" s="1">
        <v>5</v>
      </c>
      <c r="I38" s="1" t="b">
        <v>1</v>
      </c>
      <c r="J38" s="1">
        <v>4510</v>
      </c>
      <c r="L38" t="str">
        <f t="shared" si="1"/>
        <v>如果錯誤，提醒學生「最簡分數」代表分子分母「互質」。</v>
      </c>
      <c r="M38" s="5" t="s">
        <v>323</v>
      </c>
      <c r="N3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[指導]如果錯誤，提醒學生「最簡分數」代表分子分母「互質」。</v>
      </c>
    </row>
    <row r="39" spans="1:14" ht="13.85" customHeight="1" x14ac:dyDescent="0.3">
      <c r="A39" s="1" t="s">
        <v>191</v>
      </c>
      <c r="B39" s="1" t="s">
        <v>192</v>
      </c>
      <c r="C39" s="1" t="s">
        <v>193</v>
      </c>
      <c r="D39" s="1" t="s">
        <v>188</v>
      </c>
      <c r="E39" s="1" t="s">
        <v>194</v>
      </c>
      <c r="F39" s="1" t="s">
        <v>14</v>
      </c>
      <c r="G39" s="1" t="s">
        <v>195</v>
      </c>
      <c r="H39" s="1">
        <v>5</v>
      </c>
      <c r="I39" s="1" t="b">
        <v>1</v>
      </c>
      <c r="J39" s="1">
        <v>4520</v>
      </c>
      <c r="L39" t="str">
        <f t="shared" si="1"/>
        <v>如果錯誤，引導學生使用「通分母」法，將分母化為 LCM 後，再比較「分子」大小。</v>
      </c>
      <c r="M39" s="5" t="s">
        <v>323</v>
      </c>
      <c r="N3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[指導]如果錯誤，引導學生使用「通分母」法，將分母化為 LCM 後，再比較「分子」大小。</v>
      </c>
    </row>
    <row r="40" spans="1:14" ht="13.85" customHeight="1" x14ac:dyDescent="0.3">
      <c r="A40" s="1" t="s">
        <v>196</v>
      </c>
      <c r="B40" s="1" t="s">
        <v>197</v>
      </c>
      <c r="C40" s="1" t="s">
        <v>198</v>
      </c>
      <c r="D40" s="1" t="s">
        <v>188</v>
      </c>
      <c r="E40" s="1" t="s">
        <v>199</v>
      </c>
      <c r="F40" s="1" t="s">
        <v>14</v>
      </c>
      <c r="G40" s="1" t="s">
        <v>200</v>
      </c>
      <c r="H40" s="1">
        <v>5</v>
      </c>
      <c r="I40" s="1" t="b">
        <v>1</v>
      </c>
      <c r="J40" s="1">
        <v>4530</v>
      </c>
      <c r="L40" t="str">
        <f t="shared" si="1"/>
        <v>如果錯誤，提醒學生「同分母」時，「分母不變」，「分子」直接相加減。</v>
      </c>
      <c r="M40" s="5" t="s">
        <v>323</v>
      </c>
      <c r="N4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[指導]如果錯誤，提醒學生「同分母」時，「分母不變」，「分子」直接相加減。</v>
      </c>
    </row>
    <row r="41" spans="1:14" ht="13.85" customHeight="1" x14ac:dyDescent="0.3">
      <c r="A41" s="1" t="s">
        <v>201</v>
      </c>
      <c r="B41" s="1" t="s">
        <v>202</v>
      </c>
      <c r="C41" s="1" t="s">
        <v>203</v>
      </c>
      <c r="D41" s="1" t="s">
        <v>188</v>
      </c>
      <c r="E41" s="1" t="s">
        <v>204</v>
      </c>
      <c r="F41" s="1" t="s">
        <v>14</v>
      </c>
      <c r="G41" s="1" t="s">
        <v>205</v>
      </c>
      <c r="H41" s="1">
        <v>5</v>
      </c>
      <c r="I41" s="1" t="b">
        <v>1</v>
      </c>
      <c r="J41" s="1">
        <v>4540</v>
      </c>
      <c r="L41" t="str">
        <f t="shared" si="1"/>
        <v>如果錯誤，提醒學生「異分母」必須先「通分」（找出分母的 LCM），才能做加減。</v>
      </c>
      <c r="M41" s="5" t="s">
        <v>323</v>
      </c>
      <c r="N4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[指導]如果錯誤，提醒學生「異分母」必須先「通分」（找出分母的 LCM），才能做加減。</v>
      </c>
    </row>
    <row r="42" spans="1:14" ht="13.85" customHeight="1" x14ac:dyDescent="0.3">
      <c r="A42" s="1" t="s">
        <v>206</v>
      </c>
      <c r="B42" s="1" t="s">
        <v>207</v>
      </c>
      <c r="C42" s="1" t="s">
        <v>208</v>
      </c>
      <c r="D42" s="1" t="s">
        <v>188</v>
      </c>
      <c r="E42" s="1" t="s">
        <v>209</v>
      </c>
      <c r="F42" s="1" t="s">
        <v>14</v>
      </c>
      <c r="G42" s="1" t="s">
        <v>210</v>
      </c>
      <c r="H42" s="1">
        <v>5</v>
      </c>
      <c r="I42" s="1" t="b">
        <v>1</v>
      </c>
      <c r="J42" s="1">
        <v>4550</v>
      </c>
      <c r="L42" t="str">
        <f t="shared" si="1"/>
        <v>如果錯誤，提醒學生「分子 × 分子，分母 × 分母」，並在計算前先「約分」。</v>
      </c>
      <c r="M42" s="5" t="s">
        <v>323</v>
      </c>
      <c r="N4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[指導]如果錯誤，提醒學生「分子 × 分子，分母 × 分母」，並在計算前先「約分」。</v>
      </c>
    </row>
    <row r="43" spans="1:14" ht="13.85" customHeight="1" x14ac:dyDescent="0.3">
      <c r="A43" s="1" t="s">
        <v>211</v>
      </c>
      <c r="B43" s="1" t="s">
        <v>212</v>
      </c>
      <c r="C43" s="1" t="s">
        <v>213</v>
      </c>
      <c r="D43" s="1" t="s">
        <v>188</v>
      </c>
      <c r="E43" s="1" t="s">
        <v>214</v>
      </c>
      <c r="F43" s="1" t="s">
        <v>14</v>
      </c>
      <c r="G43" s="1" t="s">
        <v>215</v>
      </c>
      <c r="H43" s="1">
        <v>5</v>
      </c>
      <c r="I43" s="1" t="b">
        <v>1</v>
      </c>
      <c r="J43" s="1">
        <v>4560</v>
      </c>
      <c r="L43" t="str">
        <f t="shared" si="1"/>
        <v>如果錯誤，提醒學生 a/b 的「倒數」是 b/a。</v>
      </c>
      <c r="M43" s="5" t="s">
        <v>323</v>
      </c>
      <c r="N4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a/b 的「倒數」是 b/a。</v>
      </c>
    </row>
    <row r="44" spans="1:14" ht="13.85" customHeight="1" x14ac:dyDescent="0.3">
      <c r="A44" s="1" t="s">
        <v>216</v>
      </c>
      <c r="B44" s="1" t="s">
        <v>217</v>
      </c>
      <c r="C44" s="1" t="s">
        <v>218</v>
      </c>
      <c r="D44" s="1" t="s">
        <v>188</v>
      </c>
      <c r="E44" s="1" t="s">
        <v>219</v>
      </c>
      <c r="F44" s="1" t="s">
        <v>14</v>
      </c>
      <c r="G44" s="1" t="s">
        <v>220</v>
      </c>
      <c r="H44" s="1">
        <v>5</v>
      </c>
      <c r="I44" s="1" t="b">
        <v>1</v>
      </c>
      <c r="J44" s="1">
        <v>4570</v>
      </c>
      <c r="L44" t="str">
        <f t="shared" si="1"/>
        <v>如果錯誤，提醒學生「除以一個數」等於「乘以它的倒數」。</v>
      </c>
      <c r="M44" s="5" t="s">
        <v>323</v>
      </c>
      <c r="N4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[指導]如果錯誤，提醒學生「除以一個數」等於「乘以它的倒數」。</v>
      </c>
    </row>
    <row r="45" spans="1:14" ht="13.85" customHeight="1" x14ac:dyDescent="0.3">
      <c r="A45" s="1" t="s">
        <v>221</v>
      </c>
      <c r="B45" s="1" t="s">
        <v>222</v>
      </c>
      <c r="C45" s="1" t="s">
        <v>223</v>
      </c>
      <c r="D45" s="1" t="s">
        <v>188</v>
      </c>
      <c r="E45" s="1" t="s">
        <v>224</v>
      </c>
      <c r="F45" s="1" t="s">
        <v>14</v>
      </c>
      <c r="G45" s="1" t="s">
        <v>225</v>
      </c>
      <c r="H45" s="1">
        <v>5</v>
      </c>
      <c r="I45" s="1" t="b">
        <v>1</v>
      </c>
      <c r="J45" s="1">
        <v>4580</v>
      </c>
      <c r="L45" t="str">
        <f t="shared" si="1"/>
        <v>如果錯誤，提醒學生「先乘除，後加減」，並注意「帶分數」在乘除時要先換成「假分數」。</v>
      </c>
      <c r="M45" s="5" t="s">
        <v>323</v>
      </c>
      <c r="N4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[指導]如果錯誤，提醒學生「先乘除，後加減」，並注意「帶分數」在乘除時要先換成「假分數」。</v>
      </c>
    </row>
    <row r="46" spans="1:14" ht="13.85" customHeight="1" x14ac:dyDescent="0.3">
      <c r="A46" s="1" t="s">
        <v>226</v>
      </c>
      <c r="B46" s="1" t="s">
        <v>227</v>
      </c>
      <c r="C46" s="1" t="s">
        <v>228</v>
      </c>
      <c r="D46" s="1" t="s">
        <v>92</v>
      </c>
      <c r="E46" s="1" t="s">
        <v>229</v>
      </c>
      <c r="F46" s="1" t="s">
        <v>14</v>
      </c>
      <c r="G46" s="1" t="s">
        <v>230</v>
      </c>
      <c r="H46" s="1">
        <v>5</v>
      </c>
      <c r="I46" s="1" t="b">
        <v>1</v>
      </c>
      <c r="J46" s="1">
        <v>4590</v>
      </c>
      <c r="L46" t="str">
        <f t="shared" si="1"/>
        <v>如果錯誤，提醒學生「底數相同，相乘」⇒「指數相加」。</v>
      </c>
      <c r="M46" s="5" t="s">
        <v>323</v>
      </c>
      <c r="N4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[指導]如果錯誤，提醒學生「底數相同，相乘」⇒「指數相加」。</v>
      </c>
    </row>
    <row r="47" spans="1:14" ht="13.85" customHeight="1" x14ac:dyDescent="0.3">
      <c r="A47" s="1" t="s">
        <v>231</v>
      </c>
      <c r="B47" s="1" t="s">
        <v>232</v>
      </c>
      <c r="C47" s="1" t="s">
        <v>233</v>
      </c>
      <c r="D47" s="1" t="s">
        <v>92</v>
      </c>
      <c r="E47" s="1" t="s">
        <v>234</v>
      </c>
      <c r="F47" s="1" t="s">
        <v>14</v>
      </c>
      <c r="G47" s="1" t="s">
        <v>235</v>
      </c>
      <c r="H47" s="1">
        <v>5</v>
      </c>
      <c r="I47" s="1" t="b">
        <v>1</v>
      </c>
      <c r="J47" s="1">
        <v>4600</v>
      </c>
      <c r="L47" t="str">
        <f t="shared" si="1"/>
        <v>如果錯誤，提醒學生「底數相同，相除」⇒「指數相減」。</v>
      </c>
      <c r="M47" s="5" t="s">
        <v>323</v>
      </c>
      <c r="N4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[指導]如果錯誤，提醒學生「底數相同，相除」⇒「指數相減」。</v>
      </c>
    </row>
    <row r="48" spans="1:14" ht="13.85" customHeight="1" x14ac:dyDescent="0.3">
      <c r="A48" s="1" t="s">
        <v>236</v>
      </c>
      <c r="B48" s="1" t="s">
        <v>237</v>
      </c>
      <c r="C48" s="1" t="s">
        <v>238</v>
      </c>
      <c r="D48" s="1" t="s">
        <v>92</v>
      </c>
      <c r="E48" s="1" t="s">
        <v>239</v>
      </c>
      <c r="F48" s="1" t="s">
        <v>14</v>
      </c>
      <c r="G48" s="1" t="s">
        <v>240</v>
      </c>
      <c r="H48" s="1">
        <v>5</v>
      </c>
      <c r="I48" s="1" t="b">
        <v>1</v>
      </c>
      <c r="J48" s="1">
        <v>4610</v>
      </c>
      <c r="L48" t="str">
        <f t="shared" si="1"/>
        <v>如果錯誤，提醒學生 (aᵐ)ⁿ = aᵐ×ⁿ（次方再次方 ⇒ 指數相乘）。</v>
      </c>
      <c r="M48" s="5" t="s">
        <v>323</v>
      </c>
      <c r="N4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(aᵐ)ⁿ = aᵐ×ⁿ（次方再次方 ⇒ 指數相乘）。</v>
      </c>
    </row>
    <row r="49" spans="1:14" ht="13.85" customHeight="1" x14ac:dyDescent="0.3">
      <c r="A49" s="1" t="s">
        <v>241</v>
      </c>
      <c r="B49" s="1" t="s">
        <v>242</v>
      </c>
      <c r="C49" s="1" t="s">
        <v>243</v>
      </c>
      <c r="D49" s="1" t="s">
        <v>92</v>
      </c>
      <c r="E49" s="1" t="s">
        <v>244</v>
      </c>
      <c r="F49" s="1" t="s">
        <v>14</v>
      </c>
      <c r="G49" s="1" t="s">
        <v>245</v>
      </c>
      <c r="H49" s="1">
        <v>5</v>
      </c>
      <c r="I49" s="1" t="b">
        <v>1</v>
      </c>
      <c r="J49" s="1">
        <v>4620</v>
      </c>
      <c r="L49" t="str">
        <f t="shared" si="1"/>
        <v>如果錯誤，提醒學生 (a×b)ⁿ = aⁿ × bⁿ（次方可以分配給「乘/除」）。</v>
      </c>
      <c r="M49" s="5" t="s">
        <v>323</v>
      </c>
      <c r="N4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(a×b)ⁿ = aⁿ × bⁿ（次方可以分配給「乘/除」）。</v>
      </c>
    </row>
    <row r="50" spans="1:14" ht="13.85" customHeight="1" x14ac:dyDescent="0.3">
      <c r="A50" s="1" t="s">
        <v>246</v>
      </c>
      <c r="B50" s="1" t="s">
        <v>247</v>
      </c>
      <c r="C50" s="1" t="s">
        <v>248</v>
      </c>
      <c r="D50" s="1" t="s">
        <v>249</v>
      </c>
      <c r="E50" s="1" t="s">
        <v>250</v>
      </c>
      <c r="F50" s="1" t="s">
        <v>14</v>
      </c>
      <c r="G50" s="1" t="s">
        <v>251</v>
      </c>
      <c r="H50" s="1">
        <v>5</v>
      </c>
      <c r="I50" s="1" t="b">
        <v>1</v>
      </c>
      <c r="J50" s="1">
        <v>4630</v>
      </c>
      <c r="L50" t="str">
        <f t="shared" si="1"/>
        <v>如果錯誤，提醒學生「...的 3 倍少 5」應寫為 3x - 5。</v>
      </c>
      <c r="M50" s="5" t="s">
        <v>323</v>
      </c>
      <c r="N5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[指導]如果錯誤，提醒學生「...的 3 倍少 5」應寫為 3x - 5。</v>
      </c>
    </row>
    <row r="51" spans="1:14" ht="13.85" customHeight="1" x14ac:dyDescent="0.3">
      <c r="A51" s="1" t="s">
        <v>252</v>
      </c>
      <c r="B51" s="1" t="s">
        <v>253</v>
      </c>
      <c r="C51" s="1" t="s">
        <v>254</v>
      </c>
      <c r="D51" s="1" t="s">
        <v>249</v>
      </c>
      <c r="E51" s="1" t="s">
        <v>255</v>
      </c>
      <c r="F51" s="1" t="s">
        <v>14</v>
      </c>
      <c r="G51" s="1" t="s">
        <v>256</v>
      </c>
      <c r="H51" s="1">
        <v>5</v>
      </c>
      <c r="I51" s="1" t="b">
        <v>1</v>
      </c>
      <c r="J51" s="1">
        <v>4640</v>
      </c>
      <c r="L51" t="str">
        <f t="shared" si="1"/>
        <v>如果錯誤，提醒學生 x = -2 時，-3x + 1 = (-3)×(-2) + 1 = 6 + 1 = 7。</v>
      </c>
      <c r="M51" s="5" t="s">
        <v>323</v>
      </c>
      <c r="N5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-2 時，-3x + 1 = (-3)×(-2) + 1 = 6 + 1 = 7。</v>
      </c>
    </row>
    <row r="52" spans="1:14" ht="13.85" customHeight="1" x14ac:dyDescent="0.3">
      <c r="A52" s="1" t="s">
        <v>257</v>
      </c>
      <c r="B52" s="1" t="s">
        <v>258</v>
      </c>
      <c r="C52" s="1" t="s">
        <v>259</v>
      </c>
      <c r="D52" s="1" t="s">
        <v>249</v>
      </c>
      <c r="E52" s="1" t="s">
        <v>260</v>
      </c>
      <c r="F52" s="1" t="s">
        <v>14</v>
      </c>
      <c r="G52" s="1" t="s">
        <v>261</v>
      </c>
      <c r="H52" s="1">
        <v>5</v>
      </c>
      <c r="I52" s="1" t="b">
        <v>1</v>
      </c>
      <c r="J52" s="1">
        <v>4650</v>
      </c>
      <c r="L52" t="str">
        <f t="shared" si="1"/>
        <v>如果錯誤，提醒學生「x」只能跟「x」合併，「y」只能跟「y」合併。</v>
      </c>
      <c r="M52" s="5" t="s">
        <v>323</v>
      </c>
      <c r="N5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[指導]如果錯誤，提醒學生「x」只能跟「x」合併，「y」只能跟「y」合併。</v>
      </c>
    </row>
    <row r="53" spans="1:14" ht="13.85" customHeight="1" x14ac:dyDescent="0.3">
      <c r="A53" s="1" t="s">
        <v>262</v>
      </c>
      <c r="B53" s="1" t="s">
        <v>263</v>
      </c>
      <c r="C53" s="1" t="s">
        <v>264</v>
      </c>
      <c r="D53" s="1" t="s">
        <v>249</v>
      </c>
      <c r="E53" s="1" t="s">
        <v>265</v>
      </c>
      <c r="F53" s="1" t="s">
        <v>14</v>
      </c>
      <c r="G53" s="1" t="s">
        <v>266</v>
      </c>
      <c r="H53" s="1">
        <v>5</v>
      </c>
      <c r="I53" s="1" t="b">
        <v>1</v>
      </c>
      <c r="J53" s="1">
        <v>4660</v>
      </c>
      <c r="L53" t="str">
        <f t="shared" si="1"/>
        <v>如果錯誤，提醒學生 -3(x - 2) = (-3)x + (-3)(-2) = -3x + 6，注意「負負得正」。</v>
      </c>
      <c r="M53" s="5" t="s">
        <v>323</v>
      </c>
      <c r="N5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-3(x - 2) = (-3)x + (-3)(-2) = -3x + 6，注意「負負得正」。</v>
      </c>
    </row>
    <row r="54" spans="1:14" ht="13.85" customHeight="1" x14ac:dyDescent="0.3">
      <c r="A54" s="1" t="s">
        <v>267</v>
      </c>
      <c r="B54" s="1" t="s">
        <v>268</v>
      </c>
      <c r="C54" s="1" t="s">
        <v>269</v>
      </c>
      <c r="D54" s="1" t="s">
        <v>249</v>
      </c>
      <c r="E54" s="1" t="s">
        <v>270</v>
      </c>
      <c r="F54" s="1" t="s">
        <v>14</v>
      </c>
      <c r="G54" s="1" t="s">
        <v>271</v>
      </c>
      <c r="H54" s="1">
        <v>5</v>
      </c>
      <c r="I54" s="1" t="b">
        <v>1</v>
      </c>
      <c r="J54" s="1">
        <v>4670</v>
      </c>
      <c r="L54" t="str">
        <f t="shared" si="1"/>
        <v>如果錯誤，引導學生先「通分」（擴分為分母 6），再合併「分子」的同類項。</v>
      </c>
      <c r="M54" s="5" t="s">
        <v>323</v>
      </c>
      <c r="N5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[指導]如果錯誤，引導學生先「通分」（擴分為分母 6），再合併「分子」的同類項。</v>
      </c>
    </row>
    <row r="55" spans="1:14" ht="13.85" customHeight="1" x14ac:dyDescent="0.3">
      <c r="A55" s="1" t="s">
        <v>272</v>
      </c>
      <c r="B55" s="1" t="s">
        <v>273</v>
      </c>
      <c r="C55" s="1" t="s">
        <v>274</v>
      </c>
      <c r="D55" s="1" t="s">
        <v>275</v>
      </c>
      <c r="E55" s="1" t="s">
        <v>276</v>
      </c>
      <c r="F55" s="1" t="s">
        <v>14</v>
      </c>
      <c r="G55" s="1" t="s">
        <v>277</v>
      </c>
      <c r="H55" s="1">
        <v>5</v>
      </c>
      <c r="I55" s="1" t="b">
        <v>1</v>
      </c>
      <c r="J55" s="1">
        <v>4680</v>
      </c>
      <c r="L55" t="str">
        <f t="shared" si="1"/>
        <v>如果錯誤，提醒學生「移項要變號」：x + 3 = 5 ⇒ x = 5 - 3。</v>
      </c>
      <c r="M55" s="5" t="s">
        <v>323</v>
      </c>
      <c r="N5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[指導]如果錯誤，提醒學生「移項要變號」：x + 3 = 5 ⇒ x = 5 - 3。</v>
      </c>
    </row>
    <row r="56" spans="1:14" ht="13.85" customHeight="1" x14ac:dyDescent="0.3">
      <c r="A56" s="1" t="s">
        <v>278</v>
      </c>
      <c r="B56" s="1" t="s">
        <v>279</v>
      </c>
      <c r="C56" s="1" t="s">
        <v>280</v>
      </c>
      <c r="D56" s="1" t="s">
        <v>275</v>
      </c>
      <c r="E56" s="1" t="s">
        <v>281</v>
      </c>
      <c r="F56" s="1" t="s">
        <v>14</v>
      </c>
      <c r="G56" s="1" t="s">
        <v>282</v>
      </c>
      <c r="H56" s="1">
        <v>5</v>
      </c>
      <c r="I56" s="1" t="b">
        <v>1</v>
      </c>
      <c r="J56" s="1">
        <v>4690</v>
      </c>
      <c r="L56" t="str">
        <f t="shared" si="1"/>
        <v>如果錯誤，提醒學生「移項」時，「乘」變「除」：3x = 6 ⇒ x = 6 ÷ 3。</v>
      </c>
      <c r="M56" s="5" t="s">
        <v>323</v>
      </c>
      <c r="N5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[指導]如果錯誤，提醒學生「移項」時，「乘」變「除」：3x = 6 ⇒ x = 6 ÷ 3。</v>
      </c>
    </row>
    <row r="57" spans="1:14" ht="13.85" customHeight="1" x14ac:dyDescent="0.3">
      <c r="A57" s="1" t="s">
        <v>283</v>
      </c>
      <c r="B57" s="1" t="s">
        <v>284</v>
      </c>
      <c r="C57" s="1" t="s">
        <v>285</v>
      </c>
      <c r="D57" s="1" t="s">
        <v>275</v>
      </c>
      <c r="E57" s="1" t="s">
        <v>286</v>
      </c>
      <c r="F57" s="1" t="s">
        <v>14</v>
      </c>
      <c r="G57" s="1" t="s">
        <v>287</v>
      </c>
      <c r="H57" s="1">
        <v>5</v>
      </c>
      <c r="I57" s="1" t="b">
        <v>1</v>
      </c>
      <c r="J57" s="1">
        <v>4700</v>
      </c>
      <c r="L57" t="str">
        <f t="shared" si="1"/>
        <v>如果錯誤，教導學生「先移加減，後移乘除」：2x + 1 = 7 ⇒ 2x = 6 ⇒ x = 3。</v>
      </c>
      <c r="M57" s="5" t="s">
        <v>323</v>
      </c>
      <c r="N5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[指導]如果錯誤，教導學生「先移加減，後移乘除」：2x + 1 = 7 ⇒ 2x = 6 ⇒ x = 3。</v>
      </c>
    </row>
    <row r="58" spans="1:14" ht="13.85" customHeight="1" x14ac:dyDescent="0.3">
      <c r="A58" s="1" t="s">
        <v>288</v>
      </c>
      <c r="B58" s="1" t="s">
        <v>289</v>
      </c>
      <c r="C58" s="1" t="s">
        <v>290</v>
      </c>
      <c r="D58" s="1" t="s">
        <v>275</v>
      </c>
      <c r="E58" s="1" t="s">
        <v>291</v>
      </c>
      <c r="F58" s="1" t="s">
        <v>14</v>
      </c>
      <c r="G58" s="1" t="s">
        <v>292</v>
      </c>
      <c r="H58" s="1">
        <v>5</v>
      </c>
      <c r="I58" s="1" t="b">
        <v>1</v>
      </c>
      <c r="J58" s="1">
        <v>4710</v>
      </c>
      <c r="L58" t="str">
        <f t="shared" si="1"/>
        <v>如果錯誤，引導學生將「x 項移到同一邊」，「常數項移到另一邊」。</v>
      </c>
      <c r="M58" s="5" t="s">
        <v>323</v>
      </c>
      <c r="N5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[指導]如果錯誤，引導學生將「x 項移到同一邊」，「常數項移到另一邊」。</v>
      </c>
    </row>
    <row r="59" spans="1:14" ht="13.85" customHeight="1" x14ac:dyDescent="0.3">
      <c r="A59" s="1" t="s">
        <v>293</v>
      </c>
      <c r="B59" s="1" t="s">
        <v>294</v>
      </c>
      <c r="C59" s="1" t="s">
        <v>295</v>
      </c>
      <c r="D59" s="1" t="s">
        <v>275</v>
      </c>
      <c r="E59" s="1" t="s">
        <v>296</v>
      </c>
      <c r="F59" s="1" t="s">
        <v>14</v>
      </c>
      <c r="G59" s="1" t="s">
        <v>297</v>
      </c>
      <c r="H59" s="1">
        <v>5</v>
      </c>
      <c r="I59" s="1" t="b">
        <v>1</v>
      </c>
      <c r="J59" s="1">
        <v>4720</v>
      </c>
      <c r="L59" t="str">
        <f t="shared" si="1"/>
        <v>如果錯誤，引導學生「第一步：用分配律去括號」，「第二步：移項」，「第三步：求解」。</v>
      </c>
      <c r="M59" s="5" t="s">
        <v>323</v>
      </c>
      <c r="N5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[指導]如果錯誤，引導學生「第一步：用分配律去括號」，「第二步：移項」，「第三步：求解」。</v>
      </c>
    </row>
    <row r="60" spans="1:14" ht="13.85" customHeight="1" x14ac:dyDescent="0.3">
      <c r="A60" s="1" t="s">
        <v>298</v>
      </c>
      <c r="B60" s="1" t="s">
        <v>299</v>
      </c>
      <c r="C60" s="1" t="s">
        <v>300</v>
      </c>
      <c r="D60" s="1" t="s">
        <v>275</v>
      </c>
      <c r="E60" s="1" t="s">
        <v>301</v>
      </c>
      <c r="F60" s="1" t="s">
        <v>14</v>
      </c>
      <c r="G60" s="1" t="s">
        <v>302</v>
      </c>
      <c r="H60" s="1">
        <v>5</v>
      </c>
      <c r="I60" s="1" t="b">
        <v>1</v>
      </c>
      <c r="J60" s="1">
        <v>4730</v>
      </c>
      <c r="L60" t="str">
        <f t="shared" si="1"/>
        <v>如果錯誤，提醒學生「去分母」時，方程式的「每一項」（包含整數項）都要乘以公倍數。</v>
      </c>
      <c r="M60" s="5" t="s">
        <v>323</v>
      </c>
      <c r="N6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[指導]如果錯誤，提醒學生「去分母」時，方程式的「每一項」（包含整數項）都要乘以公倍數。</v>
      </c>
    </row>
    <row r="61" spans="1:14" ht="13.85" customHeight="1" x14ac:dyDescent="0.3">
      <c r="A61" s="1" t="s">
        <v>303</v>
      </c>
      <c r="B61" s="1" t="s">
        <v>304</v>
      </c>
      <c r="C61" s="1" t="s">
        <v>305</v>
      </c>
      <c r="D61" s="1" t="s">
        <v>275</v>
      </c>
      <c r="E61" s="1" t="s">
        <v>306</v>
      </c>
      <c r="F61" s="1" t="s">
        <v>14</v>
      </c>
      <c r="G61" s="1" t="s">
        <v>307</v>
      </c>
      <c r="H61" s="1">
        <v>5</v>
      </c>
      <c r="I61" s="1" t="b">
        <v>1</v>
      </c>
      <c r="J61" s="1">
        <v>4740</v>
      </c>
      <c r="L61" t="str">
        <f t="shared" si="1"/>
        <v>如果錯誤，引導學生找出題目中的「...等於...」、「...和...一樣多」等關鍵字，作為等號。</v>
      </c>
      <c r="M61" s="5" t="s">
        <v>323</v>
      </c>
      <c r="N6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[指導]如果錯誤，引導學生找出題目中的「...等於...」、「...和...一樣多」等關鍵字，作為等號。</v>
      </c>
    </row>
    <row r="62" spans="1:14" ht="13.85" customHeight="1" x14ac:dyDescent="0.3">
      <c r="A62" s="1" t="s">
        <v>308</v>
      </c>
      <c r="B62" s="1" t="s">
        <v>309</v>
      </c>
      <c r="C62" s="1" t="s">
        <v>310</v>
      </c>
      <c r="D62" s="1" t="s">
        <v>275</v>
      </c>
      <c r="E62" s="1" t="s">
        <v>311</v>
      </c>
      <c r="F62" s="1" t="s">
        <v>14</v>
      </c>
      <c r="G62" s="1" t="s">
        <v>312</v>
      </c>
      <c r="H62" s="1">
        <v>5</v>
      </c>
      <c r="I62" s="1" t="b">
        <v>1</v>
      </c>
      <c r="J62" s="1">
        <v>4750</v>
      </c>
      <c r="L62" t="str">
        <f t="shared" si="1"/>
        <v>如果錯誤，引導學生 1. 檢查「列式」是否正確。 2. 檢查「計算」是否正確。 3. 檢查答案是否符合題意（例如：人數不能是負數或分數）。</v>
      </c>
      <c r="M62" s="5" t="s">
        <v>323</v>
      </c>
      <c r="N6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檢查「計算」是否正確。 3. 檢查答案是否符合題意（例如：人數不能是負數或分數）。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2025-11-08T04:27:14Z</dcterms:modified>
</cp:coreProperties>
</file>