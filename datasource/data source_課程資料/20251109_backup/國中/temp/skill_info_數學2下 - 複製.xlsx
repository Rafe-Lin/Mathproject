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ython\math-master\document\data source_課程資料\國中\temp\"/>
    </mc:Choice>
  </mc:AlternateContent>
  <bookViews>
    <workbookView xWindow="0" yWindow="0" windowWidth="32914" windowHeight="11083"/>
  </bookViews>
  <sheets>
    <sheet name="這是下半部分 分析完後產生資料給我" sheetId="1" r:id="rId1"/>
  </sheets>
  <calcPr calcId="162913"/>
</workbook>
</file>

<file path=xl/calcChain.xml><?xml version="1.0" encoding="utf-8"?>
<calcChain xmlns="http://schemas.openxmlformats.org/spreadsheetml/2006/main">
  <c r="N12" i="1" l="1"/>
  <c r="N13" i="1"/>
  <c r="N24" i="1"/>
  <c r="N25" i="1"/>
  <c r="N36" i="1"/>
  <c r="N37" i="1"/>
  <c r="L38" i="1"/>
  <c r="N38" i="1" s="1"/>
  <c r="L20" i="1"/>
  <c r="N20" i="1" s="1"/>
  <c r="L21" i="1"/>
  <c r="N21" i="1" s="1"/>
  <c r="L22" i="1"/>
  <c r="N22" i="1" s="1"/>
  <c r="L23" i="1"/>
  <c r="N23" i="1" s="1"/>
  <c r="L24" i="1"/>
  <c r="L19" i="1"/>
  <c r="N19" i="1" s="1"/>
  <c r="L3" i="1"/>
  <c r="N3" i="1" s="1"/>
  <c r="L4" i="1"/>
  <c r="N4" i="1" s="1"/>
  <c r="L5" i="1"/>
  <c r="N5" i="1" s="1"/>
  <c r="L6" i="1"/>
  <c r="N6" i="1" s="1"/>
  <c r="L7" i="1"/>
  <c r="N7" i="1" s="1"/>
  <c r="L8" i="1"/>
  <c r="N8" i="1" s="1"/>
  <c r="L9" i="1"/>
  <c r="N9" i="1" s="1"/>
  <c r="L10" i="1"/>
  <c r="N10" i="1" s="1"/>
  <c r="L11" i="1"/>
  <c r="N11" i="1" s="1"/>
  <c r="L12" i="1"/>
  <c r="L13" i="1"/>
  <c r="L14" i="1"/>
  <c r="N14" i="1" s="1"/>
  <c r="L15" i="1"/>
  <c r="N15" i="1" s="1"/>
  <c r="L16" i="1"/>
  <c r="N16" i="1" s="1"/>
  <c r="L17" i="1"/>
  <c r="N17" i="1" s="1"/>
  <c r="L18" i="1"/>
  <c r="N18" i="1" s="1"/>
  <c r="L25" i="1"/>
  <c r="L26" i="1"/>
  <c r="N26" i="1" s="1"/>
  <c r="L27" i="1"/>
  <c r="N27" i="1" s="1"/>
  <c r="L28" i="1"/>
  <c r="N28" i="1" s="1"/>
  <c r="L29" i="1"/>
  <c r="N29" i="1" s="1"/>
  <c r="L30" i="1"/>
  <c r="N30" i="1" s="1"/>
  <c r="L31" i="1"/>
  <c r="N31" i="1" s="1"/>
  <c r="L32" i="1"/>
  <c r="N32" i="1" s="1"/>
  <c r="L33" i="1"/>
  <c r="N33" i="1" s="1"/>
  <c r="L34" i="1"/>
  <c r="N34" i="1" s="1"/>
  <c r="L35" i="1"/>
  <c r="N35" i="1" s="1"/>
  <c r="L36" i="1"/>
  <c r="L37" i="1"/>
  <c r="L39" i="1"/>
  <c r="N39" i="1" s="1"/>
  <c r="L40" i="1"/>
  <c r="N40" i="1" s="1"/>
  <c r="L41" i="1"/>
  <c r="N41" i="1" s="1"/>
  <c r="L42" i="1"/>
  <c r="N42" i="1" s="1"/>
  <c r="L43" i="1"/>
  <c r="N43" i="1" s="1"/>
  <c r="L44" i="1"/>
  <c r="N44" i="1" s="1"/>
  <c r="L45" i="1"/>
  <c r="N45" i="1" s="1"/>
  <c r="L2" i="1"/>
  <c r="N2" i="1" s="1"/>
</calcChain>
</file>

<file path=xl/sharedStrings.xml><?xml version="1.0" encoding="utf-8"?>
<sst xmlns="http://schemas.openxmlformats.org/spreadsheetml/2006/main" count="392" uniqueCount="266">
  <si>
    <t>skill_id</t>
  </si>
  <si>
    <t>skill_en_name</t>
  </si>
  <si>
    <t>skill_ch_name</t>
  </si>
  <si>
    <t>category</t>
  </si>
  <si>
    <t>description</t>
  </si>
  <si>
    <t>input_type</t>
  </si>
  <si>
    <t>gemini_prompt</t>
  </si>
  <si>
    <t>consecutive_correct_required</t>
  </si>
  <si>
    <t>is_active</t>
  </si>
  <si>
    <t>order_index</t>
  </si>
  <si>
    <t>jh_arithmetic_seq_def</t>
  </si>
  <si>
    <t>Arithmetic Sequence (Definition)</t>
  </si>
  <si>
    <t>認識等差數列</t>
  </si>
  <si>
    <t>數列與級數</t>
  </si>
  <si>
    <t>熟練判斷一數列是否為等差數列，並找出其公差 (d)。</t>
  </si>
  <si>
    <t>text</t>
  </si>
  <si>
    <t>jh_arithmetic_seq_term_calc</t>
  </si>
  <si>
    <t>Arithmetic Sequence (N-th Term)</t>
  </si>
  <si>
    <t>等差數列 (求第 n 項)</t>
  </si>
  <si>
    <t>熟練計算等差數列的第 n 項：aₙ = a₁ + (n-1)d。</t>
  </si>
  <si>
    <t>jh_arithmetic_seq_mean_calc</t>
  </si>
  <si>
    <t>Arithmetic Mean</t>
  </si>
  <si>
    <t>等差中項</t>
  </si>
  <si>
    <t>熟練計算三數 a, b, c 成等差時的等差中項 b = (a+c) / 2。</t>
  </si>
  <si>
    <t>jh_arithmetic_series_def</t>
  </si>
  <si>
    <t>Arithmetic Series (Definition)</t>
  </si>
  <si>
    <t>認識等差級數</t>
  </si>
  <si>
    <t>熟練辨識等差級數（將等差數列用 + 號連接）。</t>
  </si>
  <si>
    <t>jh_arithmetic_series_sum_calc</t>
  </si>
  <si>
    <t>Arithmetic Series Sum</t>
  </si>
  <si>
    <t>等差級數和</t>
  </si>
  <si>
    <t>熟練計算等差級數和 Sₙ = n(a₁ + aₙ) / 2。</t>
  </si>
  <si>
    <t>jh_geometric_seq_def</t>
  </si>
  <si>
    <t>Geometric Sequence (Definition)</t>
  </si>
  <si>
    <t>認識等比數列</t>
  </si>
  <si>
    <t>熟練判斷一數列是否為等比數列，並找出其公比 (r)。</t>
  </si>
  <si>
    <t>jh_geometric_seq_term_calc</t>
  </si>
  <si>
    <t>Geometric Sequence (N-th Term)</t>
  </si>
  <si>
    <t>等比數列 (求第 n 項)</t>
  </si>
  <si>
    <t>熟練計算等比數列的第 n 項：aₙ = a₁ · rⁿ⁻¹。</t>
  </si>
  <si>
    <t>jh_geometric_seq_mean_calc</t>
  </si>
  <si>
    <t>Geometric Mean</t>
  </si>
  <si>
    <t>等比中項</t>
  </si>
  <si>
    <t>熟練計算三數 a, b, c 成等比時的等比中項 b² = ac (b = ±√ac)。</t>
  </si>
  <si>
    <t>jh_fibonacci_seq_def</t>
  </si>
  <si>
    <t>Fibonacci Sequence</t>
  </si>
  <si>
    <t>費氏數列</t>
  </si>
  <si>
    <t>認識費氏數列（ Fₙ = Fₙ₋₁ + Fₙ₋₂ ）的規律。</t>
  </si>
  <si>
    <t>jh_function_def_check</t>
  </si>
  <si>
    <t>Function Definition (Check)</t>
  </si>
  <si>
    <t>判斷是否為函數</t>
  </si>
  <si>
    <t>函數</t>
  </si>
  <si>
    <t>熟練判斷 y 是否為 x 的函數（一個 x 只能對應到「唯一」一個 y）。</t>
  </si>
  <si>
    <t>jh_function_linear_def</t>
  </si>
  <si>
    <t>Linear Function Definition</t>
  </si>
  <si>
    <t>認識線型函數</t>
  </si>
  <si>
    <t>熟練辨識線型函數 y = ax + b（含一次函數 a≠0, 常數函數 a=0）。</t>
  </si>
  <si>
    <t>jh_function_linear_find_eq</t>
  </si>
  <si>
    <t>Find Linear Function Equation</t>
  </si>
  <si>
    <t>求線型函數</t>
  </si>
  <si>
    <t>熟練利用已知兩點 (x₁, y₁) (x₂, y₂) 求出線型函數 y = ax + b。</t>
  </si>
  <si>
    <t>jh_geo_angle_types_relations</t>
  </si>
  <si>
    <t>Angle Types &amp; Relations</t>
  </si>
  <si>
    <t>角的種類與關係</t>
  </si>
  <si>
    <t>幾何</t>
  </si>
  <si>
    <t>熟練辨識銳角/直角/鈍角/平角/周角，以及餘角/補角/對頂角。</t>
  </si>
  <si>
    <t>jh_geo_triangle_angle_sum_interior</t>
  </si>
  <si>
    <t>Triangle Interior Angle Sum</t>
  </si>
  <si>
    <t>三角形內角和</t>
  </si>
  <si>
    <t>熟練應用三角形內角和 180°。</t>
  </si>
  <si>
    <t>jh_geo_triangle_angle_exterior</t>
  </si>
  <si>
    <t>Triangle Exterior Angle Theorem</t>
  </si>
  <si>
    <t>三角形外角定理</t>
  </si>
  <si>
    <t>熟練應用三角形外角定理（任一外角 = 兩個不相鄰的內角和）。</t>
  </si>
  <si>
    <t>jh_geo_polygon_angle_sum_interior</t>
  </si>
  <si>
    <t>Polygon Interior Angle Sum</t>
  </si>
  <si>
    <t>n 邊形內角和</t>
  </si>
  <si>
    <t>熟練計算 n 邊形內角和 (n-2) × 180°。</t>
  </si>
  <si>
    <t>jh_geo_polygon_angle_sum_exterior</t>
  </si>
  <si>
    <t>Polygon Exterior Angle Sum</t>
  </si>
  <si>
    <t>n 邊形外角和</t>
  </si>
  <si>
    <t>熟練應用 n 邊形外角和恆為 360°。</t>
  </si>
  <si>
    <t>jh_geo_construct_line_segment</t>
  </si>
  <si>
    <t>Construction (Copy Line Segment)</t>
  </si>
  <si>
    <t>尺規作圖 (等線段)</t>
  </si>
  <si>
    <t>熟練使用尺規作圖複製一個線段。</t>
  </si>
  <si>
    <t>handwriting</t>
  </si>
  <si>
    <t>jh_geo_construct_angle</t>
  </si>
  <si>
    <t>Construction (Copy Angle)</t>
  </si>
  <si>
    <t>尺規作圖 (等角)</t>
  </si>
  <si>
    <t>熟練使用尺規作圖複製一個角。</t>
  </si>
  <si>
    <t>jh_geo_construct_perpendicular_bisector</t>
  </si>
  <si>
    <t>Construction (Perpendicular Bisector)</t>
  </si>
  <si>
    <t>尺規作圖 (中垂線)</t>
  </si>
  <si>
    <t>熟練使用尺規作圖作出線段的中垂線。</t>
  </si>
  <si>
    <t>jh_geo_construct_angle_bisector</t>
  </si>
  <si>
    <t>Construction (Angle Bisector)</t>
  </si>
  <si>
    <t>尺規作圖 (角平分線)</t>
  </si>
  <si>
    <t>熟練使用尺規作圖作出角的角平分線。</t>
  </si>
  <si>
    <t>jh_geo_construct_perpendicular_point_on_line</t>
  </si>
  <si>
    <t>Construction (Perpendicular, Point on Line)</t>
  </si>
  <si>
    <t>尺規作圖 (過線上一點作垂線)</t>
  </si>
  <si>
    <t>熟練使用尺規作圖作出過線上一點 P 的垂線。</t>
  </si>
  <si>
    <t>jh_geo_construct_perpendicular_point_off_line</t>
  </si>
  <si>
    <t>Construction (Perpendicular, Point off Line)</t>
  </si>
  <si>
    <t>尺規作圖 (過線外一點作垂線)</t>
  </si>
  <si>
    <t>熟練使用尺規作圖作出過線外一點 P 的垂線。</t>
  </si>
  <si>
    <t>jh_geo_congruence_def</t>
  </si>
  <si>
    <t>Congruence Definition</t>
  </si>
  <si>
    <t>三角形全等 (定義)</t>
  </si>
  <si>
    <t>熟練辨識全等三角形的對應邊與對應角。</t>
  </si>
  <si>
    <t>jh_geo_congruence_sss</t>
  </si>
  <si>
    <t>SSS Congruence</t>
  </si>
  <si>
    <t>SSS 全等</t>
  </si>
  <si>
    <t>熟練應用 SSS 全等性質判斷三角形是否全等。</t>
  </si>
  <si>
    <t>jh_geo_congruence_sas</t>
  </si>
  <si>
    <t>SAS Congruence</t>
  </si>
  <si>
    <t>SAS 全等</t>
  </si>
  <si>
    <t>熟練應用 SAS 全等性質判斷三角形是否全等。</t>
  </si>
  <si>
    <t>jh_geo_congruence_asa</t>
  </si>
  <si>
    <t>ASA Congruence</t>
  </si>
  <si>
    <t>ASA 全等</t>
  </si>
  <si>
    <t>熟練應用 ASA 全等性質判斷三角形是否全等。</t>
  </si>
  <si>
    <t>jh_geo_congruence_aas</t>
  </si>
  <si>
    <t>AAS Congruence</t>
  </si>
  <si>
    <t>AAS 全等</t>
  </si>
  <si>
    <t>熟練應用 AAS 全等性質判斷三角形是否全等。</t>
  </si>
  <si>
    <t>jh_geo_congruence_rhs</t>
  </si>
  <si>
    <t>RHS Congruence</t>
  </si>
  <si>
    <t>RHS 全等</t>
  </si>
  <si>
    <t>熟練應用 RHS 全等性質判斷「直角」三角形是否全等。</t>
  </si>
  <si>
    <t>jh_geo_perpendicular_bisector_property</t>
  </si>
  <si>
    <t>Perpendicular Bisector Property</t>
  </si>
  <si>
    <t>中垂線性質</t>
  </si>
  <si>
    <t>熟練應用「中垂線上任一點到兩端點等距」的性質。</t>
  </si>
  <si>
    <t>jh_geo_angle_bisector_property</t>
  </si>
  <si>
    <t>Angle Bisector Property</t>
  </si>
  <si>
    <t>角平分線性質</t>
  </si>
  <si>
    <t>熟練應用「角平分線上任一點到兩邊等距」的性質。</t>
  </si>
  <si>
    <t>jh_geo_triangle_side_relation</t>
  </si>
  <si>
    <t>Triangle Side Relation</t>
  </si>
  <si>
    <t>三角形三邊關係</t>
  </si>
  <si>
    <t>熟練應用「兩邊之和大於第三邊」及「兩邊之差小於第三邊」。</t>
  </si>
  <si>
    <t>jh_geo_triangle_angle_side_relation</t>
  </si>
  <si>
    <t>Triangle Angle-Side Relation</t>
  </si>
  <si>
    <t>三角形邊角關係</t>
  </si>
  <si>
    <t>熟練應用「大角對大邊」與「大邊對大角」。</t>
  </si>
  <si>
    <t>jh_geo_parallel_lines_def</t>
  </si>
  <si>
    <t>Parallel Lines &amp; Transversal Angles</t>
  </si>
  <si>
    <t>平行線與截角</t>
  </si>
  <si>
    <t>熟練辨識平行線的同位角、內錯角、同側內角。</t>
  </si>
  <si>
    <t>jh_geo_parallel_lines_property_angles</t>
  </si>
  <si>
    <t>Parallel Lines Properties (Angles)</t>
  </si>
  <si>
    <t>平行線性質 (截角)</t>
  </si>
  <si>
    <t>熟練應用 L₁//L₂ ⇒ 同位角相等、內錯角相等、同側內角互補。</t>
  </si>
  <si>
    <t>jh_geo_parallel_lines_test</t>
  </si>
  <si>
    <t>Parallel Lines Test (Angles)</t>
  </si>
  <si>
    <t>平行線判別</t>
  </si>
  <si>
    <t>熟練應用截角性質判別兩直線是否平行。</t>
  </si>
  <si>
    <t>jh_geo_construct_parallel_line</t>
  </si>
  <si>
    <t>Construction (Parallel Line)</t>
  </si>
  <si>
    <t>尺規作圖 (平行線)</t>
  </si>
  <si>
    <t>熟練使用尺規作圖作出過線外一點的平行線。</t>
  </si>
  <si>
    <t>jh_geo_parallelogram_def_properties</t>
  </si>
  <si>
    <t>Parallelogram Properties</t>
  </si>
  <si>
    <t>平行四邊形性質</t>
  </si>
  <si>
    <t>熟練平行四邊形的性質（對邊等長、對角相等、對角線互相平分）。</t>
  </si>
  <si>
    <t>jh_geo_parallelogram_tests</t>
  </si>
  <si>
    <t>Parallelogram Tests</t>
  </si>
  <si>
    <t>平行四邊形判別</t>
  </si>
  <si>
    <t>熟練平行四邊形的判別性質（例如：一雙對邊平行且相等）。</t>
  </si>
  <si>
    <t>jh_geo_rectangle_def_properties</t>
  </si>
  <si>
    <t>Rectangle Properties</t>
  </si>
  <si>
    <t>長方形(矩形)性質</t>
  </si>
  <si>
    <t>熟練長方形的定義與性質（四角皆直角、對角線等長）。</t>
  </si>
  <si>
    <t>jh_geo_rhombus_def_properties</t>
  </si>
  <si>
    <t>Rhombus Properties</t>
  </si>
  <si>
    <t>菱形性質</t>
  </si>
  <si>
    <t>熟練菱形的定義與性質（四邊皆等長、對角線互相垂直平分）。</t>
  </si>
  <si>
    <t>jh_geo_square_def_properties</t>
  </si>
  <si>
    <t>Square Properties</t>
  </si>
  <si>
    <t>正方形性質</t>
  </si>
  <si>
    <t>熟練正方形的定義與性質（長方形 + 菱形）。</t>
  </si>
  <si>
    <t>jh_geo_trapezoid_def_properties</t>
  </si>
  <si>
    <t>Trapezoid Properties</t>
  </si>
  <si>
    <t>梯形與等腰梯形性質</t>
  </si>
  <si>
    <t>熟練梯形（僅一雙對邊平行）與等腰梯形（兩腰等長、底角相等）的性質。</t>
  </si>
  <si>
    <t>jh_geo_kite_def_properties</t>
  </si>
  <si>
    <t>Kite Properties</t>
  </si>
  <si>
    <t>箏形性質</t>
  </si>
  <si>
    <t>熟練箏形的定義與性質（兩組鄰邊等長、對角線互相垂直）。</t>
  </si>
  <si>
    <r>
      <t>[</t>
    </r>
    <r>
      <rPr>
        <sz val="10"/>
        <color rgb="FF000000"/>
        <rFont val="Arial"/>
        <family val="3"/>
        <charset val="136"/>
        <scheme val="minor"/>
      </rPr>
      <t>任務</t>
    </r>
    <r>
      <rPr>
        <sz val="10"/>
        <color rgb="FF000000"/>
        <rFont val="Arial"/>
        <family val="2"/>
        <scheme val="minor"/>
      </rPr>
      <t xml:space="preserve">]
</t>
    </r>
    <r>
      <rPr>
        <sz val="10"/>
        <color rgb="FF000000"/>
        <rFont val="Arial"/>
        <family val="3"/>
        <charset val="136"/>
        <scheme val="minor"/>
      </rPr>
      <t>你是功文式數學助教。你的語氣必須</t>
    </r>
    <r>
      <rPr>
        <sz val="10"/>
        <color rgb="FF000000"/>
        <rFont val="Arial"/>
        <family val="2"/>
        <scheme val="minor"/>
      </rPr>
      <t xml:space="preserve"> **</t>
    </r>
    <r>
      <rPr>
        <sz val="10"/>
        <color rgb="FF000000"/>
        <rFont val="Arial"/>
        <family val="3"/>
        <charset val="136"/>
        <scheme val="minor"/>
      </rPr>
      <t>簡潔、中性、專業</t>
    </r>
    <r>
      <rPr>
        <sz val="10"/>
        <color rgb="FF000000"/>
        <rFont val="Arial"/>
        <family val="2"/>
        <scheme val="minor"/>
      </rPr>
      <t>**</t>
    </r>
    <r>
      <rPr>
        <sz val="10"/>
        <color rgb="FF000000"/>
        <rFont val="Arial"/>
        <family val="3"/>
        <charset val="136"/>
        <scheme val="minor"/>
      </rPr>
      <t xml:space="preserve">。
</t>
    </r>
    <r>
      <rPr>
        <sz val="10"/>
        <color rgb="FF000000"/>
        <rFont val="Arial"/>
        <family val="2"/>
        <scheme val="minor"/>
      </rPr>
      <t>**</t>
    </r>
    <r>
      <rPr>
        <sz val="10"/>
        <color rgb="FF000000"/>
        <rFont val="Arial"/>
        <family val="3"/>
        <charset val="136"/>
        <scheme val="minor"/>
      </rPr>
      <t>嚴格禁止</t>
    </r>
    <r>
      <rPr>
        <sz val="10"/>
        <color rgb="FF000000"/>
        <rFont val="Arial"/>
        <family val="2"/>
        <scheme val="minor"/>
      </rPr>
      <t>**</t>
    </r>
    <r>
      <rPr>
        <sz val="10"/>
        <color rgb="FF000000"/>
        <rFont val="Arial"/>
        <family val="3"/>
        <charset val="136"/>
        <scheme val="minor"/>
      </rPr>
      <t>：聊天（如</t>
    </r>
    <r>
      <rPr>
        <sz val="10"/>
        <color rgb="FF000000"/>
        <rFont val="Arial"/>
        <family val="2"/>
        <scheme val="minor"/>
      </rPr>
      <t xml:space="preserve"> "</t>
    </r>
    <r>
      <rPr>
        <sz val="10"/>
        <color rgb="FF000000"/>
        <rFont val="Arial"/>
        <family val="3"/>
        <charset val="136"/>
        <scheme val="minor"/>
      </rPr>
      <t>哈囉</t>
    </r>
    <r>
      <rPr>
        <sz val="10"/>
        <color rgb="FF000000"/>
        <rFont val="Arial"/>
        <family val="2"/>
        <scheme val="minor"/>
      </rPr>
      <t>"</t>
    </r>
    <r>
      <rPr>
        <sz val="10"/>
        <color rgb="FF000000"/>
        <rFont val="Arial"/>
        <family val="3"/>
        <charset val="136"/>
        <scheme val="minor"/>
      </rPr>
      <t>）、表情符號（</t>
    </r>
    <r>
      <rPr>
        <sz val="10"/>
        <color rgb="FF000000"/>
        <rFont val="Arial"/>
        <family val="2"/>
        <scheme val="minor"/>
      </rPr>
      <t>emoji</t>
    </r>
    <r>
      <rPr>
        <sz val="10"/>
        <color rgb="FF000000"/>
        <rFont val="Arial"/>
        <family val="3"/>
        <charset val="136"/>
        <scheme val="minor"/>
      </rPr>
      <t>）、過度讚美（如</t>
    </r>
    <r>
      <rPr>
        <sz val="10"/>
        <color rgb="FF000000"/>
        <rFont val="Arial"/>
        <family val="2"/>
        <scheme val="minor"/>
      </rPr>
      <t xml:space="preserve"> "</t>
    </r>
    <r>
      <rPr>
        <sz val="10"/>
        <color rgb="FF000000"/>
        <rFont val="Arial"/>
        <family val="3"/>
        <charset val="136"/>
        <scheme val="minor"/>
      </rPr>
      <t>你很棒</t>
    </r>
    <r>
      <rPr>
        <sz val="10"/>
        <color rgb="FF000000"/>
        <rFont val="Arial"/>
        <family val="2"/>
        <scheme val="minor"/>
      </rPr>
      <t>"</t>
    </r>
    <r>
      <rPr>
        <sz val="10"/>
        <color rgb="FF000000"/>
        <rFont val="Arial"/>
        <family val="3"/>
        <charset val="136"/>
        <scheme val="minor"/>
      </rPr>
      <t>、</t>
    </r>
    <r>
      <rPr>
        <sz val="10"/>
        <color rgb="FF000000"/>
        <rFont val="Arial"/>
        <family val="2"/>
        <scheme val="minor"/>
      </rPr>
      <t>"</t>
    </r>
    <r>
      <rPr>
        <sz val="10"/>
        <color rgb="FF000000"/>
        <rFont val="Arial"/>
        <family val="3"/>
        <charset val="136"/>
        <scheme val="minor"/>
      </rPr>
      <t>哇</t>
    </r>
    <r>
      <rPr>
        <sz val="10"/>
        <color rgb="FF000000"/>
        <rFont val="Arial"/>
        <family val="2"/>
        <scheme val="minor"/>
      </rPr>
      <t>"</t>
    </r>
    <r>
      <rPr>
        <sz val="10"/>
        <color rgb="FF000000"/>
        <rFont val="Arial"/>
        <family val="3"/>
        <charset val="136"/>
        <scheme val="minor"/>
      </rPr>
      <t xml:space="preserve">）或不必要的鼓勵性廢話。
</t>
    </r>
    <r>
      <rPr>
        <sz val="10"/>
        <color rgb="FF000000"/>
        <rFont val="Arial"/>
        <family val="2"/>
        <scheme val="minor"/>
      </rPr>
      <t>[</t>
    </r>
    <r>
      <rPr>
        <sz val="10"/>
        <color rgb="FF000000"/>
        <rFont val="Arial"/>
        <family val="3"/>
        <charset val="136"/>
        <scheme val="minor"/>
      </rPr>
      <t>分析</t>
    </r>
    <r>
      <rPr>
        <sz val="10"/>
        <color rgb="FF000000"/>
        <rFont val="Arial"/>
        <family val="2"/>
        <scheme val="minor"/>
      </rPr>
      <t xml:space="preserve">]
</t>
    </r>
    <r>
      <rPr>
        <sz val="10"/>
        <color rgb="FF000000"/>
        <rFont val="Arial"/>
        <family val="3"/>
        <charset val="136"/>
        <scheme val="minor"/>
      </rPr>
      <t>學生答案：</t>
    </r>
    <r>
      <rPr>
        <sz val="10"/>
        <color rgb="FF000000"/>
        <rFont val="Arial"/>
        <family val="2"/>
        <scheme val="minor"/>
      </rPr>
      <t xml:space="preserve">{user_answer}
</t>
    </r>
    <r>
      <rPr>
        <sz val="10"/>
        <color rgb="FF000000"/>
        <rFont val="Arial"/>
        <family val="3"/>
        <charset val="136"/>
        <scheme val="minor"/>
      </rPr>
      <t>正確答案：</t>
    </r>
    <r>
      <rPr>
        <sz val="10"/>
        <color rgb="FF000000"/>
        <rFont val="Arial"/>
        <family val="2"/>
        <scheme val="minor"/>
      </rPr>
      <t>{correct_answer}
[</t>
    </r>
    <r>
      <rPr>
        <sz val="10"/>
        <color rgb="FF000000"/>
        <rFont val="Arial"/>
        <family val="3"/>
        <charset val="136"/>
        <scheme val="minor"/>
      </rPr>
      <t>指導</t>
    </r>
    <r>
      <rPr>
        <sz val="10"/>
        <color rgb="FF000000"/>
        <rFont val="Arial"/>
        <family val="2"/>
        <scheme val="minor"/>
      </rPr>
      <t>]</t>
    </r>
    <phoneticPr fontId="2" type="noConversion"/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</si>
  <si>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[指導]如果錯誤，請引導學生使用長除法，並檢查循環節是否正確。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</si>
  <si>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[指導]如果錯誤，請引導學生使用 9 和 0 作為分母的技巧，或使用 x=... 的代數解法。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</si>
  <si>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[指導]如果錯誤，請學生複習 (a+b)³ 和 (a-b)³ 的公式，並檢查正負號與係數。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</si>
  <si>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[指導]如果錯誤，請學生複習 a³+b³ = (a+b)(a²-ab+b²) 公式，並檢查分解後的二次式。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</si>
  <si>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[指導]如果錯誤，請引導學生對根號內的數字進行質因數分解，並將平方項移出根號。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</si>
  <si>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[指導]如果錯誤，提醒學生「同類方根才能相加減」，並檢查乘法分配律是否正確。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</si>
  <si>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[指導]如果錯誤，提醒學生分子與分母同乘分母的根式 (如 √a)。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</si>
  <si>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[指導]如果錯誤，提醒學生利用 (a+b)(a-b)=a²-b² 的平方差公式，分子分母同乘分母的共軛根式。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</si>
  <si>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[指導]如果錯誤，引導學生將雙重根式配方為 (√x ± √y)² 的形式，並確保根號前是 2。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</si>
  <si>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[指導]如果錯誤，教導學生檢查「a, b 均為正數」的條件，並確認何時「等號成立」。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</si>
  <si>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[指導]如果錯誤，請學生複習內分點公式 P = (mB+nA)/(m+n)，並注意 m, n 的對應位置。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</si>
  <si>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|A|=c 的解為 A=c 或 A=-c，並檢查 c 是否大於等於 0。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</si>
  <si>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|A|&lt;c 的解為 -c &lt; A &lt; c，並檢查 c 是否大於 0。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</si>
  <si>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|A|&gt;c 的解為 A &gt; c 或 A &lt; -c。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</si>
  <si>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[指導]如果錯誤，教導學生使用「分段討論」或「幾何距離」的方法，在數線上找出解的位置。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</si>
  <si>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[指導]如果錯誤，教導學生使用「分段討論」或「幾何距離」的方法，在數線上找出解的範圍。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</si>
  <si>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[指導]如果錯誤，請學生複習 aᵐ · aⁿ = aᵐ⁺ⁿ 和 (aᵐ)ⁿ = aᵐⁿ 等基本規則。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</si>
  <si>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[指導]如果錯誤，提醒學生負指數代表「倒數」，並注意 0⁰ 無意義。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</si>
  <si>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[指導]如果錯誤，提醒學生「分母 n 是開 n 次方根，分子 m 是 m 次方」。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</si>
  <si>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[指導]如果錯誤，引導學生先將所有根式轉為有理數指數，利用指數律計算後，再轉回根式。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</si>
  <si>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[指導]如果錯誤，提醒學生乘除法時「數字相乘除，指數相加減」；加減法時「需調整成相同指数」。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</si>
  <si>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[指導]如果錯誤，提醒學生「a 是底數，c 是指數，b 是真數」。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</si>
  <si>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[指導]如果錯誤，請學生複習 log 100 = 2 因為 100 = 10²。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</si>
  <si>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[指導]如果錯誤，提醒學生「位數 = 首數 + 1」。若首數為負（如 -2.8），需調整為 -3 + 0.2。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</si>
  <si>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[指導]如果錯誤，提醒學生比較「尾數」與 log 2, log 3, ... 的大小。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</si>
  <si>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[指導]如果錯誤，提醒學生檢查 Y 座標差與 X 座標差的順序是否一致，並注意垂直線（斜率不存在）。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</si>
  <si>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[指導]如果錯誤，引導學生確認點 (x₀, y₀) 和斜率 m 是否正確代入。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</si>
  <si>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[指導]如果錯誤，檢查斜率 m 和 y 截距 b 是否正確。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</si>
  <si>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[指導]如果錯誤，檢查移項和係數是否正確。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</si>
  <si>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[指導]如果錯誤，提醒學生檢查斜率是否相等，或 A₁/A₂ = B₁/B₂ ≠ C₁/C₂。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</si>
  <si>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[指導]如果錯誤，提醒學生兩斜率相乘等於 -1，或 A₁A₂ + B₁B₂ = 0。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</si>
  <si>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[指導]如果錯誤，請學生複習距離公式 d = |Ax₀+By₀+C| / √(A²+B²)，並檢查分子絕對值和分母根號。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</si>
  <si>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[指導]如果錯誤，請學生複習距離公式 d = |C₁-C₂| / √(A²+B²)，並確認 A, B 係數已化為相同。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</si>
  <si>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[指導]answer}。如果錯誤，教導學生先畫出邊界線 Ax+By+C=0（實線或虛線），然後用 (0,0) 代入判斷區域。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</si>
  <si>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[指導]answer}。如果錯誤，引導學生畫出每條邊界線，並正確找出所有不等式共同滿足的交集區域。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</si>
  <si>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[指導]如果錯誤，提醒學生圓心 (h, k) 的 h 和 k 需變號，且右側是 r²。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</si>
  <si>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[指導]如果錯誤，請學生複習 (x-h)² + (y-k)² = r² 並正確代入。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</si>
  <si>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[指導]如果錯誤，引導學生先找圓心（兩點中點），再找半徑（圓心到任一端點距離）。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</si>
  <si>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[指導]如果錯誤，引導學生對 x 進行配方，對 y 進行配方，並檢查常數項移項是否正確。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</si>
  <si>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[指導]如果錯誤，提醒學生檢查配方後的 d2+e2−4f：若 &gt; 0 則為圓，= 0 為一點，&lt; 0 無圖形。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</si>
  <si>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[指導]如果錯誤，教導學生計算點 P 到圓心 (h, k) の距離 d，並與半徑 r 比較（d &lt; r, d = r, d &gt; r）。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</si>
  <si>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[指導]如果錯誤，引導學生先算出圓心到直線的距離 d，再與半徑 r 比較。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</si>
  <si>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[指導]如果錯誤，引導學生將直線代入圓方程式，整理成 x 的二次式，並計算判別式 D=b²-4ac。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</si>
  <si>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[指導]如果錯誤，引導學生將直線代入圓，解出 x，再代回直線求 y。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</si>
  <si>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[指導]如果錯誤，請學生複習公式 (x₀-h)(x-h) + (y₀-k)(y-k) = r²。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</si>
  <si>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[指導]如果錯誤，教導學生假設切線為 y=mx+k，利用「圓心到直線距離 = 半徑」來解 k。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</si>
  <si>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[指導]如果錯誤，教導學生假設切線 y-y₀=m(x-x₀)，再利用「圓心到直線距離 = 半徑」來解 m。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</si>
  <si>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[指導]如果錯誤，提醒學生「同類項才能相加減」，檢查 x 的次方是否對齊。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</si>
  <si>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[指導]如果錯誤，檢查學生是否漏掉了某個交叉項，或是在指數相加時出錯。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</si>
  <si>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[指導]如果錯誤，引導學生檢查長除法過程中，每一步的「減法」是否正確（注意正負號），以及「缺項補 0」。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</si>
  <si>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[指導]如果錯誤，請學生複習「被除式 = 除式 × 商式 + 餘式」的關係。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</si>
  <si>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[指導]如果錯誤，教導學生綜合除法的「乘、加」流程，並提醒 (x-a) 要用 a，以及缺項要補 0。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</si>
  <si>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[指導]如果錯誤，提醒學生先用 (x+b/a) 計算，得到的商 Q(x) 需再除以 a，餘式 R 不變。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</si>
  <si>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[指導]如果錯誤，教導學生餘式定理 f(x) 除以 (ax+b) 的餘式為 f(-b/a) 的概念，檢查學生代入的值是否正確。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</si>
  <si>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[指導]如果錯誤，複習因式定理：「若 f(a)=0，則 (x-a) 是 f(x) 的因式」。檢查學生是否正確代入 f(a) 並判斷其值是否為 0。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</si>
  <si>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[指導]如果錯誤，引導學生假設餘式為 R(x)=ax+b，並利用除式可分解為 (x-c)(x-d) 的特性，代入 f(c) 和 f(d) 來解聯立方程式。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</si>
  <si>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[指導]如果錯誤，引導學生對商式連續使用綜合除法，並由下往上讀取係數。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</si>
  <si>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[指導]如果錯誤，提醒學生「一個 x 只能對應到一個 y」。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</si>
  <si>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[指導]如果錯誤，提醒學生圖形是一條直線，a&gt;0 為右上、a&lt;0 為右下。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</si>
  <si>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[指導]如果錯誤，引導學生提取 a，並完成括號內的配方，注意括號外的常數項。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</si>
  <si>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[指導]如果錯誤，教導學生先找出頂點 (h, k)，並根據 a 的正負判斷開口方向（a&gt;0 開口向上, a&lt;0 開口向下）。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</si>
  <si>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[指導]如果錯誤，引導學生先配方找頂點 (h, k)，若 a&gt;0 在 x=h 有最小值 k；若 a&lt;0 在 x=h 有最大值 k。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</si>
  <si>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[指導]如果錯誤，教導學生檢查頂點 (h, k) 的 x=h 是否在範圍內，並比較頂點與兩端點 f(c), f(d) 的值。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</si>
  <si>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D &gt; 0 代表 ax²+bx+c=0 有兩相異實根，即圖形與 x 軸有兩個交點。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</si>
  <si>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[指導]如果錯誤，提醒學生圖形通過 (0,0) 且為點對稱圖形。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</si>
  <si>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[指導]如果錯誤，提醒學生圖形仍對稱於 (0,0)。若 ap&gt;0 圖形單調遞增/減；若 ap&lt;0 則有局部極值。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</si>
  <si>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[指導]如果錯誤，教導學生使用連續綜合除法（除以 x-h），或利用 h = -b/3a 求出對稱中心。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</si>
  <si>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[指導]如果錯誤，提醒學生此圖形是將 y=ax³+px 向右平移 h、向上平移 k 得到，對稱中心為 (h, k)。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</si>
  <si>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[指導]如果錯誤，提醒學生當 |x| 很大時，圖形近似於 y=ax³。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</si>
  <si>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[指導]如果錯誤，提醒學生在對稱中心附近，(x-h)³ 項很小可忽略，圖形近似於切線 y=p(x-h)+k。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</si>
  <si>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[指導]如果錯誤，引導學生先找 ax²+bx+c=0 的根，然後畫出 y=ax²+bx+c 的草圖（注意開口方向與 x 軸交點），最後根據圖形判斷不等式的解。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</si>
  <si>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[指導]如果錯誤，提醒學生「奇次重根，圖形穿過 x 軸；偶次重根，圖形接觸 x 軸（不穿過）」。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</si>
  <si>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[指導]如果錯誤，教導學生「標界法」：1. 在數線上標出所有根。 2. 從最右側區間開始標 + 號。 3. 遇到奇次根變號，遇到偶次根不變號。 4. 根據不等式（&gt;0 或 &lt;0）選取區間。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</si>
  <si>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[指導]如果錯誤，第一步，引導學生使用因式定理或牛頓一次因式檢驗法找出 f(x)=0 的整數或有理數根，將 f(x) 因式分解。第二步，使用「標界法」求解已分解的不等式。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</si>
</sst>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9"/>
      <name val="Arial"/>
      <family val="3"/>
      <charset val="136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3"/>
      <charset val="136"/>
      <scheme val="minor"/>
    </font>
    <font>
      <sz val="10"/>
      <color rgb="FF000000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4" fillId="0" borderId="0" xfId="0" applyFont="1" applyAlignment="1"/>
    <xf numFmtId="0" fontId="3" fillId="0" borderId="0" xfId="0" applyFont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75"/>
  <sheetViews>
    <sheetView tabSelected="1" workbookViewId="0">
      <selection activeCell="G2" sqref="G2:G75"/>
    </sheetView>
  </sheetViews>
  <sheetFormatPr defaultColWidth="12.61328125" defaultRowHeight="15.9" customHeight="1" x14ac:dyDescent="0.3"/>
  <cols>
    <col min="7" max="7" width="57.07421875" customWidth="1"/>
    <col min="12" max="12" width="14.84375" customWidth="1"/>
    <col min="14" max="14" width="255.69140625" bestFit="1" customWidth="1"/>
  </cols>
  <sheetData>
    <row r="1" spans="1:14" ht="15.9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4" ht="15.9" customHeight="1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2" t="s">
        <v>192</v>
      </c>
      <c r="H2" s="1">
        <v>5</v>
      </c>
      <c r="I2" s="1" t="b">
        <v>1</v>
      </c>
      <c r="J2" s="1">
        <v>5140</v>
      </c>
      <c r="L2" t="str">
        <f>RIGHT(G2,LEN(G2)-43)</f>
        <v>*：聊天（如 "哈囉"）、表情符號（emoji）、過度讚美（如 "你很棒"、"哇"）或不必要的鼓勵性廢話。
[分析]
學生答案：{user_answer}
正確答案：{correct_answer}
[指導]如果錯誤，請引導學生使用長除法，並檢查循環節是否正確。</v>
      </c>
      <c r="M2" s="3" t="s">
        <v>191</v>
      </c>
      <c r="N2" t="str">
        <f>M2&amp;L2</f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[指導]*：聊天（如 "哈囉"）、表情符號（emoji）、過度讚美（如 "你很棒"、"哇"）或不必要的鼓勵性廢話。
[分析]
學生答案：{user_answer}
正確答案：{correct_answer}
[指導]如果錯誤，請引導學生使用長除法，並檢查循環節是否正確。</v>
      </c>
    </row>
    <row r="3" spans="1:14" ht="15.9" customHeight="1" x14ac:dyDescent="0.3">
      <c r="A3" s="1" t="s">
        <v>16</v>
      </c>
      <c r="B3" s="1" t="s">
        <v>17</v>
      </c>
      <c r="C3" s="1" t="s">
        <v>18</v>
      </c>
      <c r="D3" s="1" t="s">
        <v>13</v>
      </c>
      <c r="E3" s="1" t="s">
        <v>19</v>
      </c>
      <c r="F3" s="1" t="s">
        <v>15</v>
      </c>
      <c r="G3" s="1" t="s">
        <v>193</v>
      </c>
      <c r="H3" s="1">
        <v>5</v>
      </c>
      <c r="I3" s="1" t="b">
        <v>1</v>
      </c>
      <c r="J3" s="1">
        <v>5150</v>
      </c>
      <c r="L3" t="str">
        <f t="shared" ref="L3:L45" si="0">RIGHT(G3,LEN(G3)-43)</f>
        <v>*：聊天（如 "哈囉"）、表情符號（emoji）、過度讚美（如 "你很棒"、"哇"）或不必要的鼓勵性廢話。
[分析]
學生答案：{user_answer}
正確答案：{correct_answer}
[指導]如果錯誤，請引導學生使用 9 和 0 作為分母的技巧，或使用 x=... 的代數解法。</v>
      </c>
      <c r="M3" s="3" t="s">
        <v>191</v>
      </c>
      <c r="N3" t="str">
        <f t="shared" ref="N3:N45" si="1">M3&amp;L3</f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[指導]*：聊天（如 "哈囉"）、表情符號（emoji）、過度讚美（如 "你很棒"、"哇"）或不必要的鼓勵性廢話。
[分析]
學生答案：{user_answer}
正確答案：{correct_answer}
[指導]如果錯誤，請引導學生使用 9 和 0 作為分母的技巧，或使用 x=... 的代數解法。</v>
      </c>
    </row>
    <row r="4" spans="1:14" ht="15.9" customHeight="1" x14ac:dyDescent="0.3">
      <c r="A4" s="1" t="s">
        <v>20</v>
      </c>
      <c r="B4" s="1" t="s">
        <v>21</v>
      </c>
      <c r="C4" s="1" t="s">
        <v>22</v>
      </c>
      <c r="D4" s="1" t="s">
        <v>13</v>
      </c>
      <c r="E4" s="1" t="s">
        <v>23</v>
      </c>
      <c r="F4" s="1" t="s">
        <v>15</v>
      </c>
      <c r="G4" s="1" t="s">
        <v>194</v>
      </c>
      <c r="H4" s="1">
        <v>5</v>
      </c>
      <c r="I4" s="1" t="b">
        <v>1</v>
      </c>
      <c r="J4" s="1">
        <v>5160</v>
      </c>
      <c r="L4" t="str">
        <f t="shared" si="0"/>
        <v>*：聊天（如 "哈囉"）、表情符號（emoji）、過度讚美（如 "你很棒"、"哇"）或不必要的鼓勵性廢話。
[分析]
學生答案：{user_answer}
正確答案：{correct_answer}
[指導]如果錯誤，請學生複習 (a+b)³ 和 (a-b)³ 的公式，並檢查正負號與係數。</v>
      </c>
      <c r="M4" s="3" t="s">
        <v>191</v>
      </c>
      <c r="N4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[指導]*：聊天（如 "哈囉"）、表情符號（emoji）、過度讚美（如 "你很棒"、"哇"）或不必要的鼓勵性廢話。
[分析]
學生答案：{user_answer}
正確答案：{correct_answer}
[指導]如果錯誤，請學生複習 (a+b)³ 和 (a-b)³ 的公式，並檢查正負號與係數。</v>
      </c>
    </row>
    <row r="5" spans="1:14" ht="15.9" customHeight="1" x14ac:dyDescent="0.3">
      <c r="A5" s="1" t="s">
        <v>24</v>
      </c>
      <c r="B5" s="1" t="s">
        <v>25</v>
      </c>
      <c r="C5" s="1" t="s">
        <v>26</v>
      </c>
      <c r="D5" s="1" t="s">
        <v>13</v>
      </c>
      <c r="E5" s="1" t="s">
        <v>27</v>
      </c>
      <c r="F5" s="1" t="s">
        <v>15</v>
      </c>
      <c r="G5" s="1" t="s">
        <v>195</v>
      </c>
      <c r="H5" s="1">
        <v>5</v>
      </c>
      <c r="I5" s="1" t="b">
        <v>1</v>
      </c>
      <c r="J5" s="1">
        <v>5170</v>
      </c>
      <c r="L5" t="str">
        <f t="shared" si="0"/>
        <v>*：聊天（如 "哈囉"）、表情符號（emoji）、過度讚美（如 "你很棒"、"哇"）或不必要的鼓勵性廢話。
[分析]
學生答案：{user_answer}
正確答案：{correct_answer}
[指導]如果錯誤，請學生複習 a³+b³ = (a+b)(a²-ab+b²) 公式，並檢查分解後的二次式。</v>
      </c>
      <c r="M5" s="3" t="s">
        <v>191</v>
      </c>
      <c r="N5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[指導]*：聊天（如 "哈囉"）、表情符號（emoji）、過度讚美（如 "你很棒"、"哇"）或不必要的鼓勵性廢話。
[分析]
學生答案：{user_answer}
正確答案：{correct_answer}
[指導]如果錯誤，請學生複習 a³+b³ = (a+b)(a²-ab+b²) 公式，並檢查分解後的二次式。</v>
      </c>
    </row>
    <row r="6" spans="1:14" ht="15.9" customHeight="1" x14ac:dyDescent="0.3">
      <c r="A6" s="1" t="s">
        <v>28</v>
      </c>
      <c r="B6" s="1" t="s">
        <v>29</v>
      </c>
      <c r="C6" s="1" t="s">
        <v>30</v>
      </c>
      <c r="D6" s="1" t="s">
        <v>13</v>
      </c>
      <c r="E6" s="1" t="s">
        <v>31</v>
      </c>
      <c r="F6" s="1" t="s">
        <v>15</v>
      </c>
      <c r="G6" s="1" t="s">
        <v>196</v>
      </c>
      <c r="H6" s="1">
        <v>5</v>
      </c>
      <c r="I6" s="1" t="b">
        <v>1</v>
      </c>
      <c r="J6" s="1">
        <v>5180</v>
      </c>
      <c r="L6" t="str">
        <f t="shared" si="0"/>
        <v>*：聊天（如 "哈囉"）、表情符號（emoji）、過度讚美（如 "你很棒"、"哇"）或不必要的鼓勵性廢話。
[分析]
學生答案：{user_answer}
正確答案：{correct_answer}
[指導]如果錯誤，請引導學生對根號內的數字進行質因數分解，並將平方項移出根號。</v>
      </c>
      <c r="M6" s="3" t="s">
        <v>191</v>
      </c>
      <c r="N6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[指導]*：聊天（如 "哈囉"）、表情符號（emoji）、過度讚美（如 "你很棒"、"哇"）或不必要的鼓勵性廢話。
[分析]
學生答案：{user_answer}
正確答案：{correct_answer}
[指導]如果錯誤，請引導學生對根號內的數字進行質因數分解，並將平方項移出根號。</v>
      </c>
    </row>
    <row r="7" spans="1:14" ht="15.9" customHeight="1" x14ac:dyDescent="0.3">
      <c r="A7" s="1" t="s">
        <v>32</v>
      </c>
      <c r="B7" s="1" t="s">
        <v>33</v>
      </c>
      <c r="C7" s="1" t="s">
        <v>34</v>
      </c>
      <c r="D7" s="1" t="s">
        <v>13</v>
      </c>
      <c r="E7" s="1" t="s">
        <v>35</v>
      </c>
      <c r="F7" s="1" t="s">
        <v>15</v>
      </c>
      <c r="G7" s="1" t="s">
        <v>197</v>
      </c>
      <c r="H7" s="1">
        <v>5</v>
      </c>
      <c r="I7" s="1" t="b">
        <v>1</v>
      </c>
      <c r="J7" s="1">
        <v>5190</v>
      </c>
      <c r="L7" t="str">
        <f t="shared" si="0"/>
        <v>*：聊天（如 "哈囉"）、表情符號（emoji）、過度讚美（如 "你很棒"、"哇"）或不必要的鼓勵性廢話。
[分析]
學生答案：{user_answer}
正確答案：{correct_answer}
[指導]如果錯誤，提醒學生「同類方根才能相加減」，並檢查乘法分配律是否正確。</v>
      </c>
      <c r="M7" s="3" t="s">
        <v>191</v>
      </c>
      <c r="N7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[指導]*：聊天（如 "哈囉"）、表情符號（emoji）、過度讚美（如 "你很棒"、"哇"）或不必要的鼓勵性廢話。
[分析]
學生答案：{user_answer}
正確答案：{correct_answer}
[指導]如果錯誤，提醒學生「同類方根才能相加減」，並檢查乘法分配律是否正確。</v>
      </c>
    </row>
    <row r="8" spans="1:14" ht="15.9" customHeight="1" x14ac:dyDescent="0.3">
      <c r="A8" s="1" t="s">
        <v>36</v>
      </c>
      <c r="B8" s="1" t="s">
        <v>37</v>
      </c>
      <c r="C8" s="1" t="s">
        <v>38</v>
      </c>
      <c r="D8" s="1" t="s">
        <v>13</v>
      </c>
      <c r="E8" s="1" t="s">
        <v>39</v>
      </c>
      <c r="F8" s="1" t="s">
        <v>15</v>
      </c>
      <c r="G8" s="1" t="s">
        <v>198</v>
      </c>
      <c r="H8" s="1">
        <v>5</v>
      </c>
      <c r="I8" s="1" t="b">
        <v>1</v>
      </c>
      <c r="J8" s="1">
        <v>5200</v>
      </c>
      <c r="L8" t="str">
        <f t="shared" si="0"/>
        <v>*：聊天（如 "哈囉"）、表情符號（emoji）、過度讚美（如 "你很棒"、"哇"）或不必要的鼓勵性廢話。
[分析]
學生答案：{user_answer}
正確答案：{correct_answer}
[指導]如果錯誤，提醒學生分子與分母同乘分母的根式 (如 √a)。</v>
      </c>
      <c r="M8" s="3" t="s">
        <v>191</v>
      </c>
      <c r="N8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[指導]*：聊天（如 "哈囉"）、表情符號（emoji）、過度讚美（如 "你很棒"、"哇"）或不必要的鼓勵性廢話。
[分析]
學生答案：{user_answer}
正確答案：{correct_answer}
[指導]如果錯誤，提醒學生分子與分母同乘分母的根式 (如 √a)。</v>
      </c>
    </row>
    <row r="9" spans="1:14" ht="15.9" customHeight="1" x14ac:dyDescent="0.3">
      <c r="A9" s="1" t="s">
        <v>40</v>
      </c>
      <c r="B9" s="1" t="s">
        <v>41</v>
      </c>
      <c r="C9" s="1" t="s">
        <v>42</v>
      </c>
      <c r="D9" s="1" t="s">
        <v>13</v>
      </c>
      <c r="E9" s="1" t="s">
        <v>43</v>
      </c>
      <c r="F9" s="1" t="s">
        <v>15</v>
      </c>
      <c r="G9" s="1" t="s">
        <v>199</v>
      </c>
      <c r="H9" s="1">
        <v>5</v>
      </c>
      <c r="I9" s="1" t="b">
        <v>1</v>
      </c>
      <c r="J9" s="1">
        <v>5210</v>
      </c>
      <c r="L9" t="str">
        <f t="shared" si="0"/>
        <v>*：聊天（如 "哈囉"）、表情符號（emoji）、過度讚美（如 "你很棒"、"哇"）或不必要的鼓勵性廢話。
[分析]
學生答案：{user_answer}
正確答案：{correct_answer}
[指導]如果錯誤，提醒學生利用 (a+b)(a-b)=a²-b² 的平方差公式，分子分母同乘分母的共軛根式。</v>
      </c>
      <c r="M9" s="3" t="s">
        <v>191</v>
      </c>
      <c r="N9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[指導]*：聊天（如 "哈囉"）、表情符號（emoji）、過度讚美（如 "你很棒"、"哇"）或不必要的鼓勵性廢話。
[分析]
學生答案：{user_answer}
正確答案：{correct_answer}
[指導]如果錯誤，提醒學生利用 (a+b)(a-b)=a²-b² 的平方差公式，分子分母同乘分母的共軛根式。</v>
      </c>
    </row>
    <row r="10" spans="1:14" ht="15.9" customHeight="1" x14ac:dyDescent="0.3">
      <c r="A10" s="1" t="s">
        <v>44</v>
      </c>
      <c r="B10" s="1" t="s">
        <v>45</v>
      </c>
      <c r="C10" s="1" t="s">
        <v>46</v>
      </c>
      <c r="D10" s="1" t="s">
        <v>13</v>
      </c>
      <c r="E10" s="1" t="s">
        <v>47</v>
      </c>
      <c r="F10" s="1" t="s">
        <v>15</v>
      </c>
      <c r="G10" s="1" t="s">
        <v>200</v>
      </c>
      <c r="H10" s="1">
        <v>5</v>
      </c>
      <c r="I10" s="1" t="b">
        <v>1</v>
      </c>
      <c r="J10" s="1">
        <v>5220</v>
      </c>
      <c r="L10" t="str">
        <f t="shared" si="0"/>
        <v>*：聊天（如 "哈囉"）、表情符號（emoji）、過度讚美（如 "你很棒"、"哇"）或不必要的鼓勵性廢話。
[分析]
學生答案：{user_answer}
正確答案：{correct_answer}
[指導]如果錯誤，引導學生將雙重根式配方為 (√x ± √y)² 的形式，並確保根號前是 2。</v>
      </c>
      <c r="M10" s="3" t="s">
        <v>191</v>
      </c>
      <c r="N10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[指導]*：聊天（如 "哈囉"）、表情符號（emoji）、過度讚美（如 "你很棒"、"哇"）或不必要的鼓勵性廢話。
[分析]
學生答案：{user_answer}
正確答案：{correct_answer}
[指導]如果錯誤，引導學生將雙重根式配方為 (√x ± √y)² 的形式，並確保根號前是 2。</v>
      </c>
    </row>
    <row r="11" spans="1:14" ht="15.9" customHeight="1" x14ac:dyDescent="0.3">
      <c r="A11" s="1" t="s">
        <v>48</v>
      </c>
      <c r="B11" s="1" t="s">
        <v>49</v>
      </c>
      <c r="C11" s="1" t="s">
        <v>50</v>
      </c>
      <c r="D11" s="1" t="s">
        <v>51</v>
      </c>
      <c r="E11" s="1" t="s">
        <v>52</v>
      </c>
      <c r="F11" s="1" t="s">
        <v>15</v>
      </c>
      <c r="G11" s="1" t="s">
        <v>201</v>
      </c>
      <c r="H11" s="1">
        <v>5</v>
      </c>
      <c r="I11" s="1" t="b">
        <v>1</v>
      </c>
      <c r="J11" s="1">
        <v>5230</v>
      </c>
      <c r="L11" t="str">
        <f t="shared" si="0"/>
        <v>*：聊天（如 "哈囉"）、表情符號（emoji）、過度讚美（如 "你很棒"、"哇"）或不必要的鼓勵性廢話。
[分析]
學生答案：{user_answer}
正確答案：{correct_answer}
[指導]如果錯誤，教導學生檢查「a, b 均為正數」的條件，並確認何時「等號成立」。</v>
      </c>
      <c r="M11" s="3" t="s">
        <v>191</v>
      </c>
      <c r="N11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[指導]*：聊天（如 "哈囉"）、表情符號（emoji）、過度讚美（如 "你很棒"、"哇"）或不必要的鼓勵性廢話。
[分析]
學生答案：{user_answer}
正確答案：{correct_answer}
[指導]如果錯誤，教導學生檢查「a, b 均為正數」的條件，並確認何時「等號成立」。</v>
      </c>
    </row>
    <row r="12" spans="1:14" ht="15.9" customHeight="1" x14ac:dyDescent="0.3">
      <c r="A12" s="1" t="s">
        <v>53</v>
      </c>
      <c r="B12" s="1" t="s">
        <v>54</v>
      </c>
      <c r="C12" s="1" t="s">
        <v>55</v>
      </c>
      <c r="D12" s="1" t="s">
        <v>51</v>
      </c>
      <c r="E12" s="1" t="s">
        <v>56</v>
      </c>
      <c r="F12" s="1" t="s">
        <v>15</v>
      </c>
      <c r="G12" s="1" t="s">
        <v>202</v>
      </c>
      <c r="H12" s="1">
        <v>5</v>
      </c>
      <c r="I12" s="1" t="b">
        <v>1</v>
      </c>
      <c r="J12" s="1">
        <v>5240</v>
      </c>
      <c r="L12" t="str">
        <f t="shared" si="0"/>
        <v>*：聊天（如 "哈囉"）、表情符號（emoji）、過度讚美（如 "你很棒"、"哇"）或不必要的鼓勵性廢話。
[分析]
學生答案：{user_answer}
正確答案：{correct_answer}
[指導]如果錯誤，請學生複習內分點公式 P = (mB+nA)/(m+n)，並注意 m, n 的對應位置。</v>
      </c>
      <c r="M12" s="3" t="s">
        <v>191</v>
      </c>
      <c r="N12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[指導]*：聊天（如 "哈囉"）、表情符號（emoji）、過度讚美（如 "你很棒"、"哇"）或不必要的鼓勵性廢話。
[分析]
學生答案：{user_answer}
正確答案：{correct_answer}
[指導]如果錯誤，請學生複習內分點公式 P = (mB+nA)/(m+n)，並注意 m, n 的對應位置。</v>
      </c>
    </row>
    <row r="13" spans="1:14" ht="15.9" customHeight="1" x14ac:dyDescent="0.3">
      <c r="A13" s="1" t="s">
        <v>57</v>
      </c>
      <c r="B13" s="1" t="s">
        <v>58</v>
      </c>
      <c r="C13" s="1" t="s">
        <v>59</v>
      </c>
      <c r="D13" s="1" t="s">
        <v>51</v>
      </c>
      <c r="E13" s="1" t="s">
        <v>60</v>
      </c>
      <c r="F13" s="1" t="s">
        <v>15</v>
      </c>
      <c r="G13" s="1" t="s">
        <v>203</v>
      </c>
      <c r="H13" s="1">
        <v>5</v>
      </c>
      <c r="I13" s="1" t="b">
        <v>1</v>
      </c>
      <c r="J13" s="1">
        <v>5250</v>
      </c>
      <c r="L13" t="str">
        <f t="shared" si="0"/>
        <v>*：聊天（如 "哈囉"）、表情符號（emoji）、過度讚美（如 "你很棒"、"哇"）或不必要的鼓勵性廢話。
[分析]
學生答案：{user_answer}
正確答案：{correct_answer}
[指導]如果錯誤，提醒學生 |A|=c 的解為 A=c 或 A=-c，並檢查 c 是否大於等於 0。</v>
      </c>
      <c r="M13" s="3" t="s">
        <v>191</v>
      </c>
      <c r="N13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[指導]*：聊天（如 "哈囉"）、表情符號（emoji）、過度讚美（如 "你很棒"、"哇"）或不必要的鼓勵性廢話。
[分析]
學生答案：{user_answer}
正確答案：{correct_answer}
[指導]如果錯誤，提醒學生 |A|=c 的解為 A=c 或 A=-c，並檢查 c 是否大於等於 0。</v>
      </c>
    </row>
    <row r="14" spans="1:14" ht="15.9" customHeight="1" x14ac:dyDescent="0.3">
      <c r="A14" s="1" t="s">
        <v>61</v>
      </c>
      <c r="B14" s="1" t="s">
        <v>62</v>
      </c>
      <c r="C14" s="1" t="s">
        <v>63</v>
      </c>
      <c r="D14" s="1" t="s">
        <v>64</v>
      </c>
      <c r="E14" s="1" t="s">
        <v>65</v>
      </c>
      <c r="F14" s="1" t="s">
        <v>15</v>
      </c>
      <c r="G14" s="1" t="s">
        <v>204</v>
      </c>
      <c r="H14" s="1">
        <v>5</v>
      </c>
      <c r="I14" s="1" t="b">
        <v>1</v>
      </c>
      <c r="J14" s="1">
        <v>5260</v>
      </c>
      <c r="L14" t="str">
        <f t="shared" si="0"/>
        <v>*：聊天（如 "哈囉"）、表情符號（emoji）、過度讚美（如 "你很棒"、"哇"）或不必要的鼓勵性廢話。
[分析]
學生答案：{user_answer}
正確答案：{correct_answer}
[指導]如果錯誤，提醒學生 |A|&lt;c 的解為 -c &lt; A &lt; c，並檢查 c 是否大於 0。</v>
      </c>
      <c r="M14" s="3" t="s">
        <v>191</v>
      </c>
      <c r="N14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[指導]*：聊天（如 "哈囉"）、表情符號（emoji）、過度讚美（如 "你很棒"、"哇"）或不必要的鼓勵性廢話。
[分析]
學生答案：{user_answer}
正確答案：{correct_answer}
[指導]如果錯誤，提醒學生 |A|&lt;c 的解為 -c &lt; A &lt; c，並檢查 c 是否大於 0。</v>
      </c>
    </row>
    <row r="15" spans="1:14" ht="15.9" customHeight="1" x14ac:dyDescent="0.3">
      <c r="A15" s="1" t="s">
        <v>66</v>
      </c>
      <c r="B15" s="1" t="s">
        <v>67</v>
      </c>
      <c r="C15" s="1" t="s">
        <v>68</v>
      </c>
      <c r="D15" s="1" t="s">
        <v>64</v>
      </c>
      <c r="E15" s="1" t="s">
        <v>69</v>
      </c>
      <c r="F15" s="1" t="s">
        <v>15</v>
      </c>
      <c r="G15" s="1" t="s">
        <v>205</v>
      </c>
      <c r="H15" s="1">
        <v>5</v>
      </c>
      <c r="I15" s="1" t="b">
        <v>1</v>
      </c>
      <c r="J15" s="1">
        <v>5270</v>
      </c>
      <c r="L15" t="str">
        <f t="shared" si="0"/>
        <v>*：聊天（如 "哈囉"）、表情符號（emoji）、過度讚美（如 "你很棒"、"哇"）或不必要的鼓勵性廢話。
[分析]
學生答案：{user_answer}
正確答案：{correct_answer}
[指導]如果錯誤，提醒學生 |A|&gt;c 的解為 A &gt; c 或 A &lt; -c。</v>
      </c>
      <c r="M15" s="3" t="s">
        <v>191</v>
      </c>
      <c r="N15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[指導]*：聊天（如 "哈囉"）、表情符號（emoji）、過度讚美（如 "你很棒"、"哇"）或不必要的鼓勵性廢話。
[分析]
學生答案：{user_answer}
正確答案：{correct_answer}
[指導]如果錯誤，提醒學生 |A|&gt;c 的解為 A &gt; c 或 A &lt; -c。</v>
      </c>
    </row>
    <row r="16" spans="1:14" ht="15.9" customHeight="1" x14ac:dyDescent="0.3">
      <c r="A16" s="1" t="s">
        <v>70</v>
      </c>
      <c r="B16" s="1" t="s">
        <v>71</v>
      </c>
      <c r="C16" s="1" t="s">
        <v>72</v>
      </c>
      <c r="D16" s="1" t="s">
        <v>64</v>
      </c>
      <c r="E16" s="1" t="s">
        <v>73</v>
      </c>
      <c r="F16" s="1" t="s">
        <v>15</v>
      </c>
      <c r="G16" s="1" t="s">
        <v>206</v>
      </c>
      <c r="H16" s="1">
        <v>5</v>
      </c>
      <c r="I16" s="1" t="b">
        <v>1</v>
      </c>
      <c r="J16" s="1">
        <v>5280</v>
      </c>
      <c r="L16" t="str">
        <f t="shared" si="0"/>
        <v>*：聊天（如 "哈囉"）、表情符號（emoji）、過度讚美（如 "你很棒"、"哇"）或不必要的鼓勵性廢話。
[分析]
學生答案：{user_answer}
正確答案：{correct_answer}
[指導]如果錯誤，教導學生使用「分段討論」或「幾何距離」的方法，在數線上找出解的位置。</v>
      </c>
      <c r="M16" s="3" t="s">
        <v>191</v>
      </c>
      <c r="N16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[指導]*：聊天（如 "哈囉"）、表情符號（emoji）、過度讚美（如 "你很棒"、"哇"）或不必要的鼓勵性廢話。
[分析]
學生答案：{user_answer}
正確答案：{correct_answer}
[指導]如果錯誤，教導學生使用「分段討論」或「幾何距離」的方法，在數線上找出解的位置。</v>
      </c>
    </row>
    <row r="17" spans="1:14" ht="15.9" customHeight="1" x14ac:dyDescent="0.3">
      <c r="A17" s="1" t="s">
        <v>74</v>
      </c>
      <c r="B17" s="1" t="s">
        <v>75</v>
      </c>
      <c r="C17" s="1" t="s">
        <v>76</v>
      </c>
      <c r="D17" s="1" t="s">
        <v>64</v>
      </c>
      <c r="E17" s="1" t="s">
        <v>77</v>
      </c>
      <c r="F17" s="1" t="s">
        <v>15</v>
      </c>
      <c r="G17" s="1" t="s">
        <v>207</v>
      </c>
      <c r="H17" s="1">
        <v>5</v>
      </c>
      <c r="I17" s="1" t="b">
        <v>1</v>
      </c>
      <c r="J17" s="1">
        <v>5290</v>
      </c>
      <c r="L17" t="str">
        <f t="shared" si="0"/>
        <v>*：聊天（如 "哈囉"）、表情符號（emoji）、過度讚美（如 "你很棒"、"哇"）或不必要的鼓勵性廢話。
[分析]
學生答案：{user_answer}
正確答案：{correct_answer}
[指導]如果錯誤，教導學生使用「分段討論」或「幾何距離」的方法，在數線上找出解的範圍。</v>
      </c>
      <c r="M17" s="3" t="s">
        <v>191</v>
      </c>
      <c r="N17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[指導]*：聊天（如 "哈囉"）、表情符號（emoji）、過度讚美（如 "你很棒"、"哇"）或不必要的鼓勵性廢話。
[分析]
學生答案：{user_answer}
正確答案：{correct_answer}
[指導]如果錯誤，教導學生使用「分段討論」或「幾何距離」的方法，在數線上找出解的範圍。</v>
      </c>
    </row>
    <row r="18" spans="1:14" ht="15.9" customHeight="1" x14ac:dyDescent="0.3">
      <c r="A18" s="1" t="s">
        <v>78</v>
      </c>
      <c r="B18" s="1" t="s">
        <v>79</v>
      </c>
      <c r="C18" s="1" t="s">
        <v>80</v>
      </c>
      <c r="D18" s="1" t="s">
        <v>64</v>
      </c>
      <c r="E18" s="1" t="s">
        <v>81</v>
      </c>
      <c r="F18" s="1" t="s">
        <v>15</v>
      </c>
      <c r="G18" s="1" t="s">
        <v>208</v>
      </c>
      <c r="H18" s="1">
        <v>5</v>
      </c>
      <c r="I18" s="1" t="b">
        <v>1</v>
      </c>
      <c r="J18" s="1">
        <v>5300</v>
      </c>
      <c r="L18" t="str">
        <f t="shared" si="0"/>
        <v>*：聊天（如 "哈囉"）、表情符號（emoji）、過度讚美（如 "你很棒"、"哇"）或不必要的鼓勵性廢話。
[分析]
學生答案：{user_answer}
正確答案：{correct_answer}
[指導]如果錯誤，請學生複習 aᵐ · aⁿ = aᵐ⁺ⁿ 和 (aᵐ)ⁿ = aᵐⁿ 等基本規則。</v>
      </c>
      <c r="M18" s="3" t="s">
        <v>191</v>
      </c>
      <c r="N18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[指導]*：聊天（如 "哈囉"）、表情符號（emoji）、過度讚美（如 "你很棒"、"哇"）或不必要的鼓勵性廢話。
[分析]
學生答案：{user_answer}
正確答案：{correct_answer}
[指導]如果錯誤，請學生複習 aᵐ · aⁿ = aᵐ⁺ⁿ 和 (aᵐ)ⁿ = aᵐⁿ 等基本規則。</v>
      </c>
    </row>
    <row r="19" spans="1:14" ht="15.9" customHeight="1" x14ac:dyDescent="0.3">
      <c r="A19" s="1" t="s">
        <v>82</v>
      </c>
      <c r="B19" s="1" t="s">
        <v>83</v>
      </c>
      <c r="C19" s="1" t="s">
        <v>84</v>
      </c>
      <c r="D19" s="1" t="s">
        <v>64</v>
      </c>
      <c r="E19" s="1" t="s">
        <v>85</v>
      </c>
      <c r="F19" s="1" t="s">
        <v>86</v>
      </c>
      <c r="G19" s="2" t="s">
        <v>209</v>
      </c>
      <c r="H19" s="1">
        <v>5</v>
      </c>
      <c r="I19" s="1" t="b">
        <v>1</v>
      </c>
      <c r="J19" s="1">
        <v>5310</v>
      </c>
      <c r="L19" t="str">
        <f>RIGHT(G19,LEN(G19)-51)</f>
        <v>哈囉"）、表情符號（emoji）、過度讚美（如 "你很棒"、"哇"）或不必要的鼓勵性廢話。
[分析]
學生答案：{user_answer}
正確答案：{correct_answer}
[指導]如果錯誤，提醒學生負指數代表「倒數」，並注意 0⁰ 無意義。</v>
      </c>
      <c r="M19" s="3" t="s">
        <v>191</v>
      </c>
      <c r="N19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[指導]哈囉"）、表情符號（emoji）、過度讚美（如 "你很棒"、"哇"）或不必要的鼓勵性廢話。
[分析]
學生答案：{user_answer}
正確答案：{correct_answer}
[指導]如果錯誤，提醒學生負指數代表「倒數」，並注意 0⁰ 無意義。</v>
      </c>
    </row>
    <row r="20" spans="1:14" ht="15.9" customHeight="1" x14ac:dyDescent="0.3">
      <c r="A20" s="1" t="s">
        <v>87</v>
      </c>
      <c r="B20" s="1" t="s">
        <v>88</v>
      </c>
      <c r="C20" s="1" t="s">
        <v>89</v>
      </c>
      <c r="D20" s="1" t="s">
        <v>64</v>
      </c>
      <c r="E20" s="1" t="s">
        <v>90</v>
      </c>
      <c r="F20" s="1" t="s">
        <v>86</v>
      </c>
      <c r="G20" s="1" t="s">
        <v>210</v>
      </c>
      <c r="H20" s="1">
        <v>5</v>
      </c>
      <c r="I20" s="1" t="b">
        <v>1</v>
      </c>
      <c r="J20" s="1">
        <v>5320</v>
      </c>
      <c r="L20" t="str">
        <f t="shared" ref="L20:L24" si="2">RIGHT(G20,LEN(G20)-51)</f>
        <v>哈囉"）、表情符號（emoji）、過度讚美（如 "你很棒"、"哇"）或不必要的鼓勵性廢話。
[分析]
學生答案：{user_answer}
正確答案：{correct_answer}
[指導]如果錯誤，提醒學生「分母 n 是開 n 次方根，分子 m 是 m 次方」。</v>
      </c>
      <c r="M20" s="3" t="s">
        <v>191</v>
      </c>
      <c r="N20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[指導]哈囉"）、表情符號（emoji）、過度讚美（如 "你很棒"、"哇"）或不必要的鼓勵性廢話。
[分析]
學生答案：{user_answer}
正確答案：{correct_answer}
[指導]如果錯誤，提醒學生「分母 n 是開 n 次方根，分子 m 是 m 次方」。</v>
      </c>
    </row>
    <row r="21" spans="1:14" ht="15.9" customHeight="1" x14ac:dyDescent="0.3">
      <c r="A21" s="1" t="s">
        <v>91</v>
      </c>
      <c r="B21" s="1" t="s">
        <v>92</v>
      </c>
      <c r="C21" s="1" t="s">
        <v>93</v>
      </c>
      <c r="D21" s="1" t="s">
        <v>64</v>
      </c>
      <c r="E21" s="1" t="s">
        <v>94</v>
      </c>
      <c r="F21" s="1" t="s">
        <v>86</v>
      </c>
      <c r="G21" s="1" t="s">
        <v>211</v>
      </c>
      <c r="H21" s="1">
        <v>5</v>
      </c>
      <c r="I21" s="1" t="b">
        <v>1</v>
      </c>
      <c r="J21" s="1">
        <v>5330</v>
      </c>
      <c r="L21" t="str">
        <f t="shared" si="2"/>
        <v>哈囉"）、表情符號（emoji）、過度讚美（如 "你很棒"、"哇"）或不必要的鼓勵性廢話。
[分析]
學生答案：{user_answer}
正確答案：{correct_answer}
[指導]如果錯誤，引導學生先將所有根式轉為有理數指數，利用指數律計算後，再轉回根式。</v>
      </c>
      <c r="M21" s="3" t="s">
        <v>191</v>
      </c>
      <c r="N21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[指導]哈囉"）、表情符號（emoji）、過度讚美（如 "你很棒"、"哇"）或不必要的鼓勵性廢話。
[分析]
學生答案：{user_answer}
正確答案：{correct_answer}
[指導]如果錯誤，引導學生先將所有根式轉為有理數指數，利用指數律計算後，再轉回根式。</v>
      </c>
    </row>
    <row r="22" spans="1:14" ht="15.9" customHeight="1" x14ac:dyDescent="0.3">
      <c r="A22" s="1" t="s">
        <v>95</v>
      </c>
      <c r="B22" s="1" t="s">
        <v>96</v>
      </c>
      <c r="C22" s="1" t="s">
        <v>97</v>
      </c>
      <c r="D22" s="1" t="s">
        <v>64</v>
      </c>
      <c r="E22" s="1" t="s">
        <v>98</v>
      </c>
      <c r="F22" s="1" t="s">
        <v>86</v>
      </c>
      <c r="G22" s="1" t="s">
        <v>212</v>
      </c>
      <c r="H22" s="1">
        <v>5</v>
      </c>
      <c r="I22" s="1" t="b">
        <v>1</v>
      </c>
      <c r="J22" s="1">
        <v>5340</v>
      </c>
      <c r="L22" t="str">
        <f t="shared" si="2"/>
        <v>哈囉"）、表情符號（emoji）、過度讚美（如 "你很棒"、"哇"）或不必要的鼓勵性廢話。
[分析]
學生答案：{user_answer}
正確答案：{correct_answer}
[指導]如果錯誤，提醒學生乘除法時「數字相乘除，指數相加減」；加減法時「需調整成相同指数」。</v>
      </c>
      <c r="M22" s="3" t="s">
        <v>191</v>
      </c>
      <c r="N22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[指導]哈囉"）、表情符號（emoji）、過度讚美（如 "你很棒"、"哇"）或不必要的鼓勵性廢話。
[分析]
學生答案：{user_answer}
正確答案：{correct_answer}
[指導]如果錯誤，提醒學生乘除法時「數字相乘除，指數相加減」；加減法時「需調整成相同指数」。</v>
      </c>
    </row>
    <row r="23" spans="1:14" ht="15.9" customHeight="1" x14ac:dyDescent="0.3">
      <c r="A23" s="1" t="s">
        <v>99</v>
      </c>
      <c r="B23" s="1" t="s">
        <v>100</v>
      </c>
      <c r="C23" s="1" t="s">
        <v>101</v>
      </c>
      <c r="D23" s="1" t="s">
        <v>64</v>
      </c>
      <c r="E23" s="1" t="s">
        <v>102</v>
      </c>
      <c r="F23" s="1" t="s">
        <v>86</v>
      </c>
      <c r="G23" s="1" t="s">
        <v>213</v>
      </c>
      <c r="H23" s="1">
        <v>5</v>
      </c>
      <c r="I23" s="1" t="b">
        <v>1</v>
      </c>
      <c r="J23" s="1">
        <v>5350</v>
      </c>
      <c r="L23" t="str">
        <f t="shared" si="2"/>
        <v>哈囉"）、表情符號（emoji）、過度讚美（如 "你很棒"、"哇"）或不必要的鼓勵性廢話。
[分析]
學生答案：{user_answer}
正確答案：{correct_answer}
[指導]如果錯誤，提醒學生「a 是底數，c 是指數，b 是真數」。</v>
      </c>
      <c r="M23" s="3" t="s">
        <v>191</v>
      </c>
      <c r="N23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[指導]哈囉"）、表情符號（emoji）、過度讚美（如 "你很棒"、"哇"）或不必要的鼓勵性廢話。
[分析]
學生答案：{user_answer}
正確答案：{correct_answer}
[指導]如果錯誤，提醒學生「a 是底數，c 是指數，b 是真數」。</v>
      </c>
    </row>
    <row r="24" spans="1:14" ht="15.9" customHeight="1" x14ac:dyDescent="0.3">
      <c r="A24" s="1" t="s">
        <v>103</v>
      </c>
      <c r="B24" s="1" t="s">
        <v>104</v>
      </c>
      <c r="C24" s="1" t="s">
        <v>105</v>
      </c>
      <c r="D24" s="1" t="s">
        <v>64</v>
      </c>
      <c r="E24" s="1" t="s">
        <v>106</v>
      </c>
      <c r="F24" s="1" t="s">
        <v>86</v>
      </c>
      <c r="G24" s="1" t="s">
        <v>214</v>
      </c>
      <c r="H24" s="1">
        <v>5</v>
      </c>
      <c r="I24" s="1" t="b">
        <v>1</v>
      </c>
      <c r="J24" s="1">
        <v>5360</v>
      </c>
      <c r="L24" t="str">
        <f t="shared" si="2"/>
        <v>哈囉"）、表情符號（emoji）、過度讚美（如 "你很棒"、"哇"）或不必要的鼓勵性廢話。
[分析]
學生答案：{user_answer}
正確答案：{correct_answer}
[指導]如果錯誤，請學生複習 log 100 = 2 因為 100 = 10²。</v>
      </c>
      <c r="M24" s="3" t="s">
        <v>191</v>
      </c>
      <c r="N24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[指導]哈囉"）、表情符號（emoji）、過度讚美（如 "你很棒"、"哇"）或不必要的鼓勵性廢話。
[分析]
學生答案：{user_answer}
正確答案：{correct_answer}
[指導]如果錯誤，請學生複習 log 100 = 2 因為 100 = 10²。</v>
      </c>
    </row>
    <row r="25" spans="1:14" ht="15.9" customHeight="1" x14ac:dyDescent="0.3">
      <c r="A25" s="1" t="s">
        <v>107</v>
      </c>
      <c r="B25" s="1" t="s">
        <v>108</v>
      </c>
      <c r="C25" s="1" t="s">
        <v>109</v>
      </c>
      <c r="D25" s="1" t="s">
        <v>64</v>
      </c>
      <c r="E25" s="1" t="s">
        <v>110</v>
      </c>
      <c r="F25" s="1" t="s">
        <v>15</v>
      </c>
      <c r="G25" s="1" t="s">
        <v>215</v>
      </c>
      <c r="H25" s="1">
        <v>5</v>
      </c>
      <c r="I25" s="1" t="b">
        <v>1</v>
      </c>
      <c r="J25" s="1">
        <v>5370</v>
      </c>
      <c r="L25" t="str">
        <f t="shared" si="0"/>
        <v>*：聊天（如 "哈囉"）、表情符號（emoji）、過度讚美（如 "你很棒"、"哇"）或不必要的鼓勵性廢話。
[分析]
學生答案：{user_answer}
正確答案：{correct_answer}
[指導]如果錯誤，提醒學生「位數 = 首數 + 1」。若首數為負（如 -2.8），需調整為 -3 + 0.2。</v>
      </c>
      <c r="M25" s="3" t="s">
        <v>191</v>
      </c>
      <c r="N25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[指導]*：聊天（如 "哈囉"）、表情符號（emoji）、過度讚美（如 "你很棒"、"哇"）或不必要的鼓勵性廢話。
[分析]
學生答案：{user_answer}
正確答案：{correct_answer}
[指導]如果錯誤，提醒學生「位數 = 首數 + 1」。若首數為負（如 -2.8），需調整為 -3 + 0.2。</v>
      </c>
    </row>
    <row r="26" spans="1:14" ht="15.9" customHeight="1" x14ac:dyDescent="0.3">
      <c r="A26" s="1" t="s">
        <v>111</v>
      </c>
      <c r="B26" s="1" t="s">
        <v>112</v>
      </c>
      <c r="C26" s="1" t="s">
        <v>113</v>
      </c>
      <c r="D26" s="1" t="s">
        <v>64</v>
      </c>
      <c r="E26" s="1" t="s">
        <v>114</v>
      </c>
      <c r="F26" s="1" t="s">
        <v>15</v>
      </c>
      <c r="G26" s="1" t="s">
        <v>216</v>
      </c>
      <c r="H26" s="1">
        <v>5</v>
      </c>
      <c r="I26" s="1" t="b">
        <v>1</v>
      </c>
      <c r="J26" s="1">
        <v>5380</v>
      </c>
      <c r="L26" t="str">
        <f t="shared" si="0"/>
        <v>*：聊天（如 "哈囉"）、表情符號（emoji）、過度讚美（如 "你很棒"、"哇"）或不必要的鼓勵性廢話。
[分析]
學生答案：{user_answer}
正確答案：{correct_answer}
[指導]如果錯誤，提醒學生比較「尾數」與 log 2, log 3, ... 的大小。</v>
      </c>
      <c r="M26" s="3" t="s">
        <v>191</v>
      </c>
      <c r="N26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[指導]*：聊天（如 "哈囉"）、表情符號（emoji）、過度讚美（如 "你很棒"、"哇"）或不必要的鼓勵性廢話。
[分析]
學生答案：{user_answer}
正確答案：{correct_answer}
[指導]如果錯誤，提醒學生比較「尾數」與 log 2, log 3, ... 的大小。</v>
      </c>
    </row>
    <row r="27" spans="1:14" ht="15.9" customHeight="1" x14ac:dyDescent="0.3">
      <c r="A27" s="1" t="s">
        <v>115</v>
      </c>
      <c r="B27" s="1" t="s">
        <v>116</v>
      </c>
      <c r="C27" s="1" t="s">
        <v>117</v>
      </c>
      <c r="D27" s="1" t="s">
        <v>64</v>
      </c>
      <c r="E27" s="1" t="s">
        <v>118</v>
      </c>
      <c r="F27" s="1" t="s">
        <v>15</v>
      </c>
      <c r="G27" s="1" t="s">
        <v>217</v>
      </c>
      <c r="H27" s="1">
        <v>5</v>
      </c>
      <c r="I27" s="1" t="b">
        <v>1</v>
      </c>
      <c r="J27" s="1">
        <v>5390</v>
      </c>
      <c r="L27" t="str">
        <f t="shared" si="0"/>
        <v>*：聊天（如 "哈囉"）、表情符號（emoji）、過度讚美（如 "你很棒"、"哇"）或不必要的鼓勵性廢話。
[分析]
學生答案：{user_answer}
正確答案：{correct_answer}
[指導]如果錯誤，提醒學生檢查 Y 座標差與 X 座標差的順序是否一致，並注意垂直線（斜率不存在）。</v>
      </c>
      <c r="M27" s="3" t="s">
        <v>191</v>
      </c>
      <c r="N27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[指導]*：聊天（如 "哈囉"）、表情符號（emoji）、過度讚美（如 "你很棒"、"哇"）或不必要的鼓勵性廢話。
[分析]
學生答案：{user_answer}
正確答案：{correct_answer}
[指導]如果錯誤，提醒學生檢查 Y 座標差與 X 座標差的順序是否一致，並注意垂直線（斜率不存在）。</v>
      </c>
    </row>
    <row r="28" spans="1:14" ht="15.9" customHeight="1" x14ac:dyDescent="0.3">
      <c r="A28" s="1" t="s">
        <v>119</v>
      </c>
      <c r="B28" s="1" t="s">
        <v>120</v>
      </c>
      <c r="C28" s="1" t="s">
        <v>121</v>
      </c>
      <c r="D28" s="1" t="s">
        <v>64</v>
      </c>
      <c r="E28" s="1" t="s">
        <v>122</v>
      </c>
      <c r="F28" s="1" t="s">
        <v>15</v>
      </c>
      <c r="G28" s="1" t="s">
        <v>218</v>
      </c>
      <c r="H28" s="1">
        <v>5</v>
      </c>
      <c r="I28" s="1" t="b">
        <v>1</v>
      </c>
      <c r="J28" s="1">
        <v>5400</v>
      </c>
      <c r="L28" t="str">
        <f t="shared" si="0"/>
        <v>*：聊天（如 "哈囉"）、表情符號（emoji）、過度讚美（如 "你很棒"、"哇"）或不必要的鼓勵性廢話。
[分析]
學生答案：{user_answer}
正確答案：{correct_answer}
[指導]如果錯誤，引導學生確認點 (x₀, y₀) 和斜率 m 是否正確代入。</v>
      </c>
      <c r="M28" s="3" t="s">
        <v>191</v>
      </c>
      <c r="N28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[指導]*：聊天（如 "哈囉"）、表情符號（emoji）、過度讚美（如 "你很棒"、"哇"）或不必要的鼓勵性廢話。
[分析]
學生答案：{user_answer}
正確答案：{correct_answer}
[指導]如果錯誤，引導學生確認點 (x₀, y₀) 和斜率 m 是否正確代入。</v>
      </c>
    </row>
    <row r="29" spans="1:14" ht="15.9" customHeight="1" x14ac:dyDescent="0.3">
      <c r="A29" s="1" t="s">
        <v>123</v>
      </c>
      <c r="B29" s="1" t="s">
        <v>124</v>
      </c>
      <c r="C29" s="1" t="s">
        <v>125</v>
      </c>
      <c r="D29" s="1" t="s">
        <v>64</v>
      </c>
      <c r="E29" s="1" t="s">
        <v>126</v>
      </c>
      <c r="F29" s="1" t="s">
        <v>15</v>
      </c>
      <c r="G29" s="1" t="s">
        <v>219</v>
      </c>
      <c r="H29" s="1">
        <v>5</v>
      </c>
      <c r="I29" s="1" t="b">
        <v>1</v>
      </c>
      <c r="J29" s="1">
        <v>5410</v>
      </c>
      <c r="L29" t="str">
        <f t="shared" si="0"/>
        <v>*：聊天（如 "哈囉"）、表情符號（emoji）、過度讚美（如 "你很棒"、"哇"）或不必要的鼓勵性廢話。
[分析]
學生答案：{user_answer}
正確答案：{correct_answer}
[指導]如果錯誤，檢查斜率 m 和 y 截距 b 是否正確。</v>
      </c>
      <c r="M29" s="3" t="s">
        <v>191</v>
      </c>
      <c r="N29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[指導]*：聊天（如 "哈囉"）、表情符號（emoji）、過度讚美（如 "你很棒"、"哇"）或不必要的鼓勵性廢話。
[分析]
學生答案：{user_answer}
正確答案：{correct_answer}
[指導]如果錯誤，檢查斜率 m 和 y 截距 b 是否正確。</v>
      </c>
    </row>
    <row r="30" spans="1:14" ht="15.9" customHeight="1" x14ac:dyDescent="0.3">
      <c r="A30" s="1" t="s">
        <v>127</v>
      </c>
      <c r="B30" s="1" t="s">
        <v>128</v>
      </c>
      <c r="C30" s="1" t="s">
        <v>129</v>
      </c>
      <c r="D30" s="1" t="s">
        <v>64</v>
      </c>
      <c r="E30" s="1" t="s">
        <v>130</v>
      </c>
      <c r="F30" s="1" t="s">
        <v>15</v>
      </c>
      <c r="G30" s="1" t="s">
        <v>220</v>
      </c>
      <c r="H30" s="1">
        <v>5</v>
      </c>
      <c r="I30" s="1" t="b">
        <v>1</v>
      </c>
      <c r="J30" s="1">
        <v>5420</v>
      </c>
      <c r="L30" t="str">
        <f t="shared" si="0"/>
        <v>*：聊天（如 "哈囉"）、表情符號（emoji）、過度讚美（如 "你很棒"、"哇"）或不必要的鼓勵性廢話。
[分析]
學生答案：{user_answer}
正確答案：{correct_answer}
[指導]如果錯誤，檢查移項和係數是否正確。</v>
      </c>
      <c r="M30" s="3" t="s">
        <v>191</v>
      </c>
      <c r="N30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[指導]*：聊天（如 "哈囉"）、表情符號（emoji）、過度讚美（如 "你很棒"、"哇"）或不必要的鼓勵性廢話。
[分析]
學生答案：{user_answer}
正確答案：{correct_answer}
[指導]如果錯誤，檢查移項和係數是否正確。</v>
      </c>
    </row>
    <row r="31" spans="1:14" ht="15.9" customHeight="1" x14ac:dyDescent="0.3">
      <c r="A31" s="1" t="s">
        <v>131</v>
      </c>
      <c r="B31" s="1" t="s">
        <v>132</v>
      </c>
      <c r="C31" s="1" t="s">
        <v>133</v>
      </c>
      <c r="D31" s="1" t="s">
        <v>64</v>
      </c>
      <c r="E31" s="1" t="s">
        <v>134</v>
      </c>
      <c r="F31" s="1" t="s">
        <v>15</v>
      </c>
      <c r="G31" s="1" t="s">
        <v>221</v>
      </c>
      <c r="H31" s="1">
        <v>5</v>
      </c>
      <c r="I31" s="1" t="b">
        <v>1</v>
      </c>
      <c r="J31" s="1">
        <v>5430</v>
      </c>
      <c r="L31" t="str">
        <f t="shared" si="0"/>
        <v>*：聊天（如 "哈囉"）、表情符號（emoji）、過度讚美（如 "你很棒"、"哇"）或不必要的鼓勵性廢話。
[分析]
學生答案：{user_answer}
正確答案：{correct_answer}
[指導]如果錯誤，提醒學生檢查斜率是否相等，或 A₁/A₂ = B₁/B₂ ≠ C₁/C₂。</v>
      </c>
      <c r="M31" s="3" t="s">
        <v>191</v>
      </c>
      <c r="N31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[指導]*：聊天（如 "哈囉"）、表情符號（emoji）、過度讚美（如 "你很棒"、"哇"）或不必要的鼓勵性廢話。
[分析]
學生答案：{user_answer}
正確答案：{correct_answer}
[指導]如果錯誤，提醒學生檢查斜率是否相等，或 A₁/A₂ = B₁/B₂ ≠ C₁/C₂。</v>
      </c>
    </row>
    <row r="32" spans="1:14" ht="15.9" customHeight="1" x14ac:dyDescent="0.3">
      <c r="A32" s="1" t="s">
        <v>135</v>
      </c>
      <c r="B32" s="1" t="s">
        <v>136</v>
      </c>
      <c r="C32" s="1" t="s">
        <v>137</v>
      </c>
      <c r="D32" s="1" t="s">
        <v>64</v>
      </c>
      <c r="E32" s="1" t="s">
        <v>138</v>
      </c>
      <c r="F32" s="1" t="s">
        <v>15</v>
      </c>
      <c r="G32" s="1" t="s">
        <v>222</v>
      </c>
      <c r="H32" s="1">
        <v>5</v>
      </c>
      <c r="I32" s="1" t="b">
        <v>1</v>
      </c>
      <c r="J32" s="1">
        <v>5440</v>
      </c>
      <c r="L32" t="str">
        <f t="shared" si="0"/>
        <v>*：聊天（如 "哈囉"）、表情符號（emoji）、過度讚美（如 "你很棒"、"哇"）或不必要的鼓勵性廢話。
[分析]
學生答案：{user_answer}
正確答案：{correct_answer}
[指導]如果錯誤，提醒學生兩斜率相乘等於 -1，或 A₁A₂ + B₁B₂ = 0。</v>
      </c>
      <c r="M32" s="3" t="s">
        <v>191</v>
      </c>
      <c r="N32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[指導]*：聊天（如 "哈囉"）、表情符號（emoji）、過度讚美（如 "你很棒"、"哇"）或不必要的鼓勵性廢話。
[分析]
學生答案：{user_answer}
正確答案：{correct_answer}
[指導]如果錯誤，提醒學生兩斜率相乘等於 -1，或 A₁A₂ + B₁B₂ = 0。</v>
      </c>
    </row>
    <row r="33" spans="1:14" ht="15.9" customHeight="1" x14ac:dyDescent="0.3">
      <c r="A33" s="1" t="s">
        <v>139</v>
      </c>
      <c r="B33" s="1" t="s">
        <v>140</v>
      </c>
      <c r="C33" s="1" t="s">
        <v>141</v>
      </c>
      <c r="D33" s="1" t="s">
        <v>64</v>
      </c>
      <c r="E33" s="1" t="s">
        <v>142</v>
      </c>
      <c r="F33" s="1" t="s">
        <v>15</v>
      </c>
      <c r="G33" s="1" t="s">
        <v>223</v>
      </c>
      <c r="H33" s="1">
        <v>5</v>
      </c>
      <c r="I33" s="1" t="b">
        <v>1</v>
      </c>
      <c r="J33" s="1">
        <v>5450</v>
      </c>
      <c r="L33" t="str">
        <f t="shared" si="0"/>
        <v>*：聊天（如 "哈囉"）、表情符號（emoji）、過度讚美（如 "你很棒"、"哇"）或不必要的鼓勵性廢話。
[分析]
學生答案：{user_answer}
正確答案：{correct_answer}
[指導]如果錯誤，請學生複習距離公式 d = |Ax₀+By₀+C| / √(A²+B²)，並檢查分子絕對值和分母根號。</v>
      </c>
      <c r="M33" s="3" t="s">
        <v>191</v>
      </c>
      <c r="N33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[指導]*：聊天（如 "哈囉"）、表情符號（emoji）、過度讚美（如 "你很棒"、"哇"）或不必要的鼓勵性廢話。
[分析]
學生答案：{user_answer}
正確答案：{correct_answer}
[指導]如果錯誤，請學生複習距離公式 d = |Ax₀+By₀+C| / √(A²+B²)，並檢查分子絕對值和分母根號。</v>
      </c>
    </row>
    <row r="34" spans="1:14" ht="15.9" customHeight="1" x14ac:dyDescent="0.3">
      <c r="A34" s="1" t="s">
        <v>143</v>
      </c>
      <c r="B34" s="1" t="s">
        <v>144</v>
      </c>
      <c r="C34" s="1" t="s">
        <v>145</v>
      </c>
      <c r="D34" s="1" t="s">
        <v>64</v>
      </c>
      <c r="E34" s="1" t="s">
        <v>146</v>
      </c>
      <c r="F34" s="1" t="s">
        <v>15</v>
      </c>
      <c r="G34" s="1" t="s">
        <v>224</v>
      </c>
      <c r="H34" s="1">
        <v>5</v>
      </c>
      <c r="I34" s="1" t="b">
        <v>1</v>
      </c>
      <c r="J34" s="1">
        <v>5460</v>
      </c>
      <c r="L34" t="str">
        <f t="shared" si="0"/>
        <v>*：聊天（如 "哈囉"）、表情符號（emoji）、過度讚美（如 "你很棒"、"哇"）或不必要的鼓勵性廢話。
[分析]
學生答案：{user_answer}
正確答案：{correct_answer}
[指導]如果錯誤，請學生複習距離公式 d = |C₁-C₂| / √(A²+B²)，並確認 A, B 係數已化為相同。</v>
      </c>
      <c r="M34" s="3" t="s">
        <v>191</v>
      </c>
      <c r="N34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[指導]*：聊天（如 "哈囉"）、表情符號（emoji）、過度讚美（如 "你很棒"、"哇"）或不必要的鼓勵性廢話。
[分析]
學生答案：{user_answer}
正確答案：{correct_answer}
[指導]如果錯誤，請學生複習距離公式 d = |C₁-C₂| / √(A²+B²)，並確認 A, B 係數已化為相同。</v>
      </c>
    </row>
    <row r="35" spans="1:14" ht="15.9" customHeight="1" x14ac:dyDescent="0.3">
      <c r="A35" s="1" t="s">
        <v>147</v>
      </c>
      <c r="B35" s="1" t="s">
        <v>148</v>
      </c>
      <c r="C35" s="1" t="s">
        <v>149</v>
      </c>
      <c r="D35" s="1" t="s">
        <v>64</v>
      </c>
      <c r="E35" s="1" t="s">
        <v>150</v>
      </c>
      <c r="F35" s="1" t="s">
        <v>15</v>
      </c>
      <c r="G35" s="1" t="s">
        <v>225</v>
      </c>
      <c r="H35" s="1">
        <v>5</v>
      </c>
      <c r="I35" s="1" t="b">
        <v>1</v>
      </c>
      <c r="J35" s="1">
        <v>5470</v>
      </c>
      <c r="L35" t="str">
        <f t="shared" si="0"/>
        <v>*：聊天（如 "哈囉"）、表情符號（emoji）、過度讚美（如 "你很棒"、"哇"）或不必要的鼓勵性廢話。
[分析]
學生答案：{user_answer}
正確答案：{correct_answer}
[指導]answer}。如果錯誤，教導學生先畫出邊界線 Ax+By+C=0（實線或虛線），然後用 (0,0) 代入判斷區域。</v>
      </c>
      <c r="M35" s="3" t="s">
        <v>191</v>
      </c>
      <c r="N35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[指導]*：聊天（如 "哈囉"）、表情符號（emoji）、過度讚美（如 "你很棒"、"哇"）或不必要的鼓勵性廢話。
[分析]
學生答案：{user_answer}
正確答案：{correct_answer}
[指導]answer}。如果錯誤，教導學生先畫出邊界線 Ax+By+C=0（實線或虛線），然後用 (0,0) 代入判斷區域。</v>
      </c>
    </row>
    <row r="36" spans="1:14" ht="15.9" customHeight="1" x14ac:dyDescent="0.3">
      <c r="A36" s="1" t="s">
        <v>151</v>
      </c>
      <c r="B36" s="1" t="s">
        <v>152</v>
      </c>
      <c r="C36" s="1" t="s">
        <v>153</v>
      </c>
      <c r="D36" s="1" t="s">
        <v>64</v>
      </c>
      <c r="E36" s="1" t="s">
        <v>154</v>
      </c>
      <c r="F36" s="1" t="s">
        <v>15</v>
      </c>
      <c r="G36" s="1" t="s">
        <v>226</v>
      </c>
      <c r="H36" s="1">
        <v>5</v>
      </c>
      <c r="I36" s="1" t="b">
        <v>1</v>
      </c>
      <c r="J36" s="1">
        <v>5480</v>
      </c>
      <c r="L36" t="str">
        <f t="shared" si="0"/>
        <v>*：聊天（如 "哈囉"）、表情符號（emoji）、過度讚美（如 "你很棒"、"哇"）或不必要的鼓勵性廢話。
[分析]
學生答案：{user_answer}
正確答案：{correct_answer}
[指導]answer}。如果錯誤，引導學生畫出每條邊界線，並正確找出所有不等式共同滿足的交集區域。</v>
      </c>
      <c r="M36" s="3" t="s">
        <v>191</v>
      </c>
      <c r="N36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[指導]*：聊天（如 "哈囉"）、表情符號（emoji）、過度讚美（如 "你很棒"、"哇"）或不必要的鼓勵性廢話。
[分析]
學生答案：{user_answer}
正確答案：{correct_answer}
[指導]answer}。如果錯誤，引導學生畫出每條邊界線，並正確找出所有不等式共同滿足的交集區域。</v>
      </c>
    </row>
    <row r="37" spans="1:14" ht="15.9" customHeight="1" x14ac:dyDescent="0.3">
      <c r="A37" s="1" t="s">
        <v>155</v>
      </c>
      <c r="B37" s="1" t="s">
        <v>156</v>
      </c>
      <c r="C37" s="1" t="s">
        <v>157</v>
      </c>
      <c r="D37" s="1" t="s">
        <v>64</v>
      </c>
      <c r="E37" s="1" t="s">
        <v>158</v>
      </c>
      <c r="F37" s="1" t="s">
        <v>15</v>
      </c>
      <c r="G37" s="1" t="s">
        <v>227</v>
      </c>
      <c r="H37" s="1">
        <v>5</v>
      </c>
      <c r="I37" s="1" t="b">
        <v>1</v>
      </c>
      <c r="J37" s="1">
        <v>5490</v>
      </c>
      <c r="L37" t="str">
        <f t="shared" si="0"/>
        <v>*：聊天（如 "哈囉"）、表情符號（emoji）、過度讚美（如 "你很棒"、"哇"）或不必要的鼓勵性廢話。
[分析]
學生答案：{user_answer}
正確答案：{correct_answer}
[指導]如果錯誤，提醒學生圓心 (h, k) 的 h 和 k 需變號，且右側是 r²。</v>
      </c>
      <c r="M37" s="3" t="s">
        <v>191</v>
      </c>
      <c r="N37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[指導]*：聊天（如 "哈囉"）、表情符號（emoji）、過度讚美（如 "你很棒"、"哇"）或不必要的鼓勵性廢話。
[分析]
學生答案：{user_answer}
正確答案：{correct_answer}
[指導]如果錯誤，提醒學生圓心 (h, k) 的 h 和 k 需變號，且右側是 r²。</v>
      </c>
    </row>
    <row r="38" spans="1:14" ht="15.9" customHeight="1" x14ac:dyDescent="0.3">
      <c r="A38" s="1" t="s">
        <v>159</v>
      </c>
      <c r="B38" s="1" t="s">
        <v>160</v>
      </c>
      <c r="C38" s="1" t="s">
        <v>161</v>
      </c>
      <c r="D38" s="1" t="s">
        <v>64</v>
      </c>
      <c r="E38" s="1" t="s">
        <v>162</v>
      </c>
      <c r="F38" s="1" t="s">
        <v>86</v>
      </c>
      <c r="G38" s="1" t="s">
        <v>228</v>
      </c>
      <c r="H38" s="1">
        <v>5</v>
      </c>
      <c r="I38" s="1" t="b">
        <v>1</v>
      </c>
      <c r="J38" s="1">
        <v>5500</v>
      </c>
      <c r="L38" t="str">
        <f>RIGHT(G38,LEN(G38)-51)</f>
        <v>哈囉"）、表情符號（emoji）、過度讚美（如 "你很棒"、"哇"）或不必要的鼓勵性廢話。
[分析]
學生答案：{user_answer}
正確答案：{correct_answer}
[指導]如果錯誤，請學生複習 (x-h)² + (y-k)² = r² 並正確代入。</v>
      </c>
      <c r="M38" s="3" t="s">
        <v>191</v>
      </c>
      <c r="N38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[指導]哈囉"）、表情符號（emoji）、過度讚美（如 "你很棒"、"哇"）或不必要的鼓勵性廢話。
[分析]
學生答案：{user_answer}
正確答案：{correct_answer}
[指導]如果錯誤，請學生複習 (x-h)² + (y-k)² = r² 並正確代入。</v>
      </c>
    </row>
    <row r="39" spans="1:14" ht="15.9" customHeight="1" x14ac:dyDescent="0.3">
      <c r="A39" s="1" t="s">
        <v>163</v>
      </c>
      <c r="B39" s="1" t="s">
        <v>164</v>
      </c>
      <c r="C39" s="1" t="s">
        <v>165</v>
      </c>
      <c r="D39" s="1" t="s">
        <v>64</v>
      </c>
      <c r="E39" s="1" t="s">
        <v>166</v>
      </c>
      <c r="F39" s="1" t="s">
        <v>15</v>
      </c>
      <c r="G39" s="1" t="s">
        <v>229</v>
      </c>
      <c r="H39" s="1">
        <v>5</v>
      </c>
      <c r="I39" s="1" t="b">
        <v>1</v>
      </c>
      <c r="J39" s="1">
        <v>5510</v>
      </c>
      <c r="L39" t="str">
        <f t="shared" si="0"/>
        <v>*：聊天（如 "哈囉"）、表情符號（emoji）、過度讚美（如 "你很棒"、"哇"）或不必要的鼓勵性廢話。
[分析]
學生答案：{user_answer}
正確答案：{correct_answer}
[指導]如果錯誤，引導學生先找圓心（兩點中點），再找半徑（圓心到任一端點距離）。</v>
      </c>
      <c r="M39" s="3" t="s">
        <v>191</v>
      </c>
      <c r="N39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[指導]*：聊天（如 "哈囉"）、表情符號（emoji）、過度讚美（如 "你很棒"、"哇"）或不必要的鼓勵性廢話。
[分析]
學生答案：{user_answer}
正確答案：{correct_answer}
[指導]如果錯誤，引導學生先找圓心（兩點中點），再找半徑（圓心到任一端點距離）。</v>
      </c>
    </row>
    <row r="40" spans="1:14" ht="15.9" customHeight="1" x14ac:dyDescent="0.3">
      <c r="A40" s="1" t="s">
        <v>167</v>
      </c>
      <c r="B40" s="1" t="s">
        <v>168</v>
      </c>
      <c r="C40" s="1" t="s">
        <v>169</v>
      </c>
      <c r="D40" s="1" t="s">
        <v>64</v>
      </c>
      <c r="E40" s="1" t="s">
        <v>170</v>
      </c>
      <c r="F40" s="1" t="s">
        <v>15</v>
      </c>
      <c r="G40" s="1" t="s">
        <v>230</v>
      </c>
      <c r="H40" s="1">
        <v>5</v>
      </c>
      <c r="I40" s="1" t="b">
        <v>1</v>
      </c>
      <c r="J40" s="1">
        <v>5520</v>
      </c>
      <c r="L40" t="str">
        <f t="shared" si="0"/>
        <v>*：聊天（如 "哈囉"）、表情符號（emoji）、過度讚美（如 "你很棒"、"哇"）或不必要的鼓勵性廢話。
[分析]
學生答案：{user_answer}
正確答案：{correct_answer}
[指導]如果錯誤，引導學生對 x 進行配方，對 y 進行配方，並檢查常數項移項是否正確。</v>
      </c>
      <c r="M40" s="3" t="s">
        <v>191</v>
      </c>
      <c r="N40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[指導]*：聊天（如 "哈囉"）、表情符號（emoji）、過度讚美（如 "你很棒"、"哇"）或不必要的鼓勵性廢話。
[分析]
學生答案：{user_answer}
正確答案：{correct_answer}
[指導]如果錯誤，引導學生對 x 進行配方，對 y 進行配方，並檢查常數項移項是否正確。</v>
      </c>
    </row>
    <row r="41" spans="1:14" ht="15.9" customHeight="1" x14ac:dyDescent="0.3">
      <c r="A41" s="1" t="s">
        <v>171</v>
      </c>
      <c r="B41" s="1" t="s">
        <v>172</v>
      </c>
      <c r="C41" s="1" t="s">
        <v>173</v>
      </c>
      <c r="D41" s="1" t="s">
        <v>64</v>
      </c>
      <c r="E41" s="1" t="s">
        <v>174</v>
      </c>
      <c r="F41" s="1" t="s">
        <v>15</v>
      </c>
      <c r="G41" s="1" t="s">
        <v>231</v>
      </c>
      <c r="H41" s="1">
        <v>5</v>
      </c>
      <c r="I41" s="1" t="b">
        <v>1</v>
      </c>
      <c r="J41" s="1">
        <v>5530</v>
      </c>
      <c r="L41" t="str">
        <f t="shared" si="0"/>
        <v>*：聊天（如 "哈囉"）、表情符號（emoji）、過度讚美（如 "你很棒"、"哇"）或不必要的鼓勵性廢話。
[分析]
學生答案：{user_answer}
正確答案：{correct_answer}
[指導]如果錯誤，提醒學生檢查配方後的 d2+e2−4f：若 &gt; 0 則為圓，= 0 為一點，&lt; 0 無圖形。</v>
      </c>
      <c r="M41" s="3" t="s">
        <v>191</v>
      </c>
      <c r="N41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[指導]*：聊天（如 "哈囉"）、表情符號（emoji）、過度讚美（如 "你很棒"、"哇"）或不必要的鼓勵性廢話。
[分析]
學生答案：{user_answer}
正確答案：{correct_answer}
[指導]如果錯誤，提醒學生檢查配方後的 d2+e2−4f：若 &gt; 0 則為圓，= 0 為一點，&lt; 0 無圖形。</v>
      </c>
    </row>
    <row r="42" spans="1:14" ht="15.9" customHeight="1" x14ac:dyDescent="0.3">
      <c r="A42" s="1" t="s">
        <v>175</v>
      </c>
      <c r="B42" s="1" t="s">
        <v>176</v>
      </c>
      <c r="C42" s="1" t="s">
        <v>177</v>
      </c>
      <c r="D42" s="1" t="s">
        <v>64</v>
      </c>
      <c r="E42" s="1" t="s">
        <v>178</v>
      </c>
      <c r="F42" s="1" t="s">
        <v>15</v>
      </c>
      <c r="G42" s="1" t="s">
        <v>232</v>
      </c>
      <c r="H42" s="1">
        <v>5</v>
      </c>
      <c r="I42" s="1" t="b">
        <v>1</v>
      </c>
      <c r="J42" s="1">
        <v>5540</v>
      </c>
      <c r="L42" t="str">
        <f t="shared" si="0"/>
        <v>*：聊天（如 "哈囉"）、表情符號（emoji）、過度讚美（如 "你很棒"、"哇"）或不必要的鼓勵性廢話。
[分析]
學生答案：{user_answer}
正確答案：{correct_answer}
[指導]如果錯誤，教導學生計算點 P 到圓心 (h, k) の距離 d，並與半徑 r 比較（d &lt; r, d = r, d &gt; r）。</v>
      </c>
      <c r="M42" s="3" t="s">
        <v>191</v>
      </c>
      <c r="N42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[指導]*：聊天（如 "哈囉"）、表情符號（emoji）、過度讚美（如 "你很棒"、"哇"）或不必要的鼓勵性廢話。
[分析]
學生答案：{user_answer}
正確答案：{correct_answer}
[指導]如果錯誤，教導學生計算點 P 到圓心 (h, k) の距離 d，並與半徑 r 比較（d &lt; r, d = r, d &gt; r）。</v>
      </c>
    </row>
    <row r="43" spans="1:14" ht="15.9" customHeight="1" x14ac:dyDescent="0.3">
      <c r="A43" s="1" t="s">
        <v>179</v>
      </c>
      <c r="B43" s="1" t="s">
        <v>180</v>
      </c>
      <c r="C43" s="1" t="s">
        <v>181</v>
      </c>
      <c r="D43" s="1" t="s">
        <v>64</v>
      </c>
      <c r="E43" s="1" t="s">
        <v>182</v>
      </c>
      <c r="F43" s="1" t="s">
        <v>15</v>
      </c>
      <c r="G43" s="1" t="s">
        <v>233</v>
      </c>
      <c r="H43" s="1">
        <v>5</v>
      </c>
      <c r="I43" s="1" t="b">
        <v>1</v>
      </c>
      <c r="J43" s="1">
        <v>5550</v>
      </c>
      <c r="L43" t="str">
        <f t="shared" si="0"/>
        <v>*：聊天（如 "哈囉"）、表情符號（emoji）、過度讚美（如 "你很棒"、"哇"）或不必要的鼓勵性廢話。
[分析]
學生答案：{user_answer}
正確答案：{correct_answer}
[指導]如果錯誤，引導學生先算出圓心到直線的距離 d，再與半徑 r 比較。</v>
      </c>
      <c r="M43" s="3" t="s">
        <v>191</v>
      </c>
      <c r="N43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[指導]*：聊天（如 "哈囉"）、表情符號（emoji）、過度讚美（如 "你很棒"、"哇"）或不必要的鼓勵性廢話。
[分析]
學生答案：{user_answer}
正確答案：{correct_answer}
[指導]如果錯誤，引導學生先算出圓心到直線的距離 d，再與半徑 r 比較。</v>
      </c>
    </row>
    <row r="44" spans="1:14" ht="15.9" customHeight="1" x14ac:dyDescent="0.3">
      <c r="A44" s="1" t="s">
        <v>183</v>
      </c>
      <c r="B44" s="1" t="s">
        <v>184</v>
      </c>
      <c r="C44" s="1" t="s">
        <v>185</v>
      </c>
      <c r="D44" s="1" t="s">
        <v>64</v>
      </c>
      <c r="E44" s="1" t="s">
        <v>186</v>
      </c>
      <c r="F44" s="1" t="s">
        <v>15</v>
      </c>
      <c r="G44" s="1" t="s">
        <v>234</v>
      </c>
      <c r="H44" s="1">
        <v>5</v>
      </c>
      <c r="I44" s="1" t="b">
        <v>1</v>
      </c>
      <c r="J44" s="1">
        <v>5560</v>
      </c>
      <c r="L44" t="str">
        <f t="shared" si="0"/>
        <v>*：聊天（如 "哈囉"）、表情符號（emoji）、過度讚美（如 "你很棒"、"哇"）或不必要的鼓勵性廢話。
[分析]
學生答案：{user_answer}
正確答案：{correct_answer}
[指導]如果錯誤，引導學生將直線代入圓方程式，整理成 x 的二次式，並計算判別式 D=b²-4ac。</v>
      </c>
      <c r="M44" s="3" t="s">
        <v>191</v>
      </c>
      <c r="N44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[指導]*：聊天（如 "哈囉"）、表情符號（emoji）、過度讚美（如 "你很棒"、"哇"）或不必要的鼓勵性廢話。
[分析]
學生答案：{user_answer}
正確答案：{correct_answer}
[指導]如果錯誤，引導學生將直線代入圓方程式，整理成 x 的二次式，並計算判別式 D=b²-4ac。</v>
      </c>
    </row>
    <row r="45" spans="1:14" ht="15.9" customHeight="1" x14ac:dyDescent="0.3">
      <c r="A45" s="1" t="s">
        <v>187</v>
      </c>
      <c r="B45" s="1" t="s">
        <v>188</v>
      </c>
      <c r="C45" s="1" t="s">
        <v>189</v>
      </c>
      <c r="D45" s="1" t="s">
        <v>64</v>
      </c>
      <c r="E45" s="1" t="s">
        <v>190</v>
      </c>
      <c r="F45" s="1" t="s">
        <v>15</v>
      </c>
      <c r="G45" s="1" t="s">
        <v>235</v>
      </c>
      <c r="H45" s="1">
        <v>5</v>
      </c>
      <c r="I45" s="1" t="b">
        <v>1</v>
      </c>
      <c r="J45" s="1">
        <v>5570</v>
      </c>
      <c r="L45" t="str">
        <f t="shared" si="0"/>
        <v>*：聊天（如 "哈囉"）、表情符號（emoji）、過度讚美（如 "你很棒"、"哇"）或不必要的鼓勵性廢話。
[分析]
學生答案：{user_answer}
正確答案：{correct_answer}
[指導]如果錯誤，引導學生將直線代入圓，解出 x，再代回直線求 y。</v>
      </c>
      <c r="M45" s="3" t="s">
        <v>191</v>
      </c>
      <c r="N45" t="str">
        <f t="shared" si="1"/>
        <v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[指導]*：聊天（如 "哈囉"）、表情符號（emoji）、過度讚美（如 "你很棒"、"哇"）或不必要的鼓勵性廢話。
[分析]
學生答案：{user_answer}
正確答案：{correct_answer}
[指導]如果錯誤，引導學生將直線代入圓，解出 x，再代回直線求 y。</v>
      </c>
    </row>
    <row r="46" spans="1:14" ht="15.9" customHeight="1" x14ac:dyDescent="0.3">
      <c r="G46" t="s">
        <v>236</v>
      </c>
    </row>
    <row r="47" spans="1:14" ht="15.9" customHeight="1" x14ac:dyDescent="0.3">
      <c r="G47" t="s">
        <v>237</v>
      </c>
    </row>
    <row r="48" spans="1:14" ht="15.9" customHeight="1" x14ac:dyDescent="0.3">
      <c r="G48" t="s">
        <v>238</v>
      </c>
    </row>
    <row r="49" spans="7:7" ht="15.9" customHeight="1" x14ac:dyDescent="0.3">
      <c r="G49" t="s">
        <v>239</v>
      </c>
    </row>
    <row r="50" spans="7:7" ht="15.9" customHeight="1" x14ac:dyDescent="0.3">
      <c r="G50" t="s">
        <v>240</v>
      </c>
    </row>
    <row r="51" spans="7:7" ht="15.9" customHeight="1" x14ac:dyDescent="0.3">
      <c r="G51" t="s">
        <v>241</v>
      </c>
    </row>
    <row r="52" spans="7:7" ht="15.9" customHeight="1" x14ac:dyDescent="0.3">
      <c r="G52" t="s">
        <v>242</v>
      </c>
    </row>
    <row r="53" spans="7:7" ht="15.9" customHeight="1" x14ac:dyDescent="0.3">
      <c r="G53" t="s">
        <v>243</v>
      </c>
    </row>
    <row r="54" spans="7:7" ht="15.9" customHeight="1" x14ac:dyDescent="0.3">
      <c r="G54" t="s">
        <v>244</v>
      </c>
    </row>
    <row r="55" spans="7:7" ht="15.9" customHeight="1" x14ac:dyDescent="0.3">
      <c r="G55" t="s">
        <v>245</v>
      </c>
    </row>
    <row r="56" spans="7:7" ht="15.9" customHeight="1" x14ac:dyDescent="0.3">
      <c r="G56" t="s">
        <v>246</v>
      </c>
    </row>
    <row r="57" spans="7:7" ht="15.9" customHeight="1" x14ac:dyDescent="0.3">
      <c r="G57" t="s">
        <v>247</v>
      </c>
    </row>
    <row r="58" spans="7:7" ht="15.9" customHeight="1" x14ac:dyDescent="0.3">
      <c r="G58" t="s">
        <v>248</v>
      </c>
    </row>
    <row r="59" spans="7:7" ht="15.9" customHeight="1" x14ac:dyDescent="0.3">
      <c r="G59" t="s">
        <v>249</v>
      </c>
    </row>
    <row r="60" spans="7:7" ht="15.9" customHeight="1" x14ac:dyDescent="0.3">
      <c r="G60" t="s">
        <v>250</v>
      </c>
    </row>
    <row r="61" spans="7:7" ht="15.9" customHeight="1" x14ac:dyDescent="0.3">
      <c r="G61" t="s">
        <v>251</v>
      </c>
    </row>
    <row r="62" spans="7:7" ht="15.9" customHeight="1" x14ac:dyDescent="0.3">
      <c r="G62" t="s">
        <v>252</v>
      </c>
    </row>
    <row r="63" spans="7:7" ht="15.9" customHeight="1" x14ac:dyDescent="0.3">
      <c r="G63" t="s">
        <v>253</v>
      </c>
    </row>
    <row r="64" spans="7:7" ht="15.9" customHeight="1" x14ac:dyDescent="0.3">
      <c r="G64" t="s">
        <v>254</v>
      </c>
    </row>
    <row r="65" spans="7:7" ht="15.9" customHeight="1" x14ac:dyDescent="0.3">
      <c r="G65" t="s">
        <v>255</v>
      </c>
    </row>
    <row r="66" spans="7:7" ht="15.9" customHeight="1" x14ac:dyDescent="0.3">
      <c r="G66" t="s">
        <v>256</v>
      </c>
    </row>
    <row r="67" spans="7:7" ht="15.9" customHeight="1" x14ac:dyDescent="0.3">
      <c r="G67" t="s">
        <v>257</v>
      </c>
    </row>
    <row r="68" spans="7:7" ht="15.9" customHeight="1" x14ac:dyDescent="0.3">
      <c r="G68" t="s">
        <v>258</v>
      </c>
    </row>
    <row r="69" spans="7:7" ht="15.9" customHeight="1" x14ac:dyDescent="0.3">
      <c r="G69" t="s">
        <v>259</v>
      </c>
    </row>
    <row r="70" spans="7:7" ht="15.9" customHeight="1" x14ac:dyDescent="0.3">
      <c r="G70" t="s">
        <v>260</v>
      </c>
    </row>
    <row r="71" spans="7:7" ht="15.9" customHeight="1" x14ac:dyDescent="0.3">
      <c r="G71" t="s">
        <v>261</v>
      </c>
    </row>
    <row r="72" spans="7:7" ht="15.9" customHeight="1" x14ac:dyDescent="0.3">
      <c r="G72" t="s">
        <v>262</v>
      </c>
    </row>
    <row r="73" spans="7:7" ht="15.9" customHeight="1" x14ac:dyDescent="0.3">
      <c r="G73" t="s">
        <v>263</v>
      </c>
    </row>
    <row r="74" spans="7:7" ht="15.9" customHeight="1" x14ac:dyDescent="0.3">
      <c r="G74" t="s">
        <v>264</v>
      </c>
    </row>
    <row r="75" spans="7:7" ht="15.9" customHeight="1" x14ac:dyDescent="0.3">
      <c r="G75" t="s">
        <v>265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這是下半部分 分析完後產生資料給我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葉士瑋</cp:lastModifiedBy>
  <dcterms:modified xsi:type="dcterms:W3CDTF">2025-11-08T06:50:03Z</dcterms:modified>
</cp:coreProperties>
</file>