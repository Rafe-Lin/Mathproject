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32914" windowHeight="11083"/>
  </bookViews>
  <sheets>
    <sheet name="已上是後半部分 請合併送出" sheetId="1" r:id="rId1"/>
  </sheets>
  <calcPr calcId="162913"/>
</workbook>
</file>

<file path=xl/calcChain.xml><?xml version="1.0" encoding="utf-8"?>
<calcChain xmlns="http://schemas.openxmlformats.org/spreadsheetml/2006/main">
  <c r="L3" i="1" l="1"/>
  <c r="N3" i="1" s="1"/>
  <c r="L4" i="1"/>
  <c r="N4" i="1" s="1"/>
  <c r="L5" i="1"/>
  <c r="N5" i="1"/>
  <c r="L6" i="1"/>
  <c r="N6" i="1"/>
  <c r="L7" i="1"/>
  <c r="N7" i="1" s="1"/>
  <c r="L8" i="1"/>
  <c r="N8" i="1" s="1"/>
  <c r="L9" i="1"/>
  <c r="N9" i="1" s="1"/>
  <c r="L10" i="1"/>
  <c r="N10" i="1" s="1"/>
  <c r="L11" i="1"/>
  <c r="N11" i="1"/>
  <c r="L12" i="1"/>
  <c r="N12" i="1"/>
  <c r="L13" i="1"/>
  <c r="N13" i="1" s="1"/>
  <c r="L14" i="1"/>
  <c r="N14" i="1" s="1"/>
  <c r="L15" i="1"/>
  <c r="N15" i="1" s="1"/>
  <c r="L16" i="1"/>
  <c r="N16" i="1" s="1"/>
  <c r="L17" i="1"/>
  <c r="N17" i="1"/>
  <c r="L18" i="1"/>
  <c r="N18" i="1"/>
  <c r="L19" i="1"/>
  <c r="N19" i="1" s="1"/>
  <c r="L20" i="1"/>
  <c r="N20" i="1" s="1"/>
  <c r="L21" i="1"/>
  <c r="N21" i="1" s="1"/>
  <c r="L22" i="1"/>
  <c r="N22" i="1" s="1"/>
  <c r="L23" i="1"/>
  <c r="N23" i="1"/>
  <c r="L24" i="1"/>
  <c r="N24" i="1"/>
  <c r="L25" i="1"/>
  <c r="N25" i="1" s="1"/>
  <c r="L26" i="1"/>
  <c r="N26" i="1" s="1"/>
  <c r="L27" i="1"/>
  <c r="N27" i="1" s="1"/>
  <c r="L28" i="1"/>
  <c r="N28" i="1" s="1"/>
  <c r="L29" i="1"/>
  <c r="N29" i="1"/>
  <c r="L30" i="1"/>
  <c r="N30" i="1" s="1"/>
  <c r="L31" i="1"/>
  <c r="N31" i="1" s="1"/>
  <c r="L32" i="1"/>
  <c r="N32" i="1"/>
  <c r="L33" i="1"/>
  <c r="N33" i="1" s="1"/>
  <c r="L34" i="1"/>
  <c r="N34" i="1" s="1"/>
  <c r="L2" i="1"/>
  <c r="N2" i="1" s="1"/>
</calcChain>
</file>

<file path=xl/sharedStrings.xml><?xml version="1.0" encoding="utf-8"?>
<sst xmlns="http://schemas.openxmlformats.org/spreadsheetml/2006/main" count="274" uniqueCount="182">
  <si>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</si>
  <si>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</si>
  <si>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</si>
  <si>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</si>
  <si>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</si>
  <si>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</si>
  <si>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</si>
  <si>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</si>
  <si>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</si>
  <si>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</si>
  <si>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jh_formula_square_of_sum_expand</t>
  </si>
  <si>
    <t>Formula (Square of Sum)</t>
  </si>
  <si>
    <t>乘法公式 (和的平方)</t>
  </si>
  <si>
    <t>多項式運算</t>
  </si>
  <si>
    <t>熟練應用 (a+b)² = a² + 2ab + b² 進行展開。</t>
  </si>
  <si>
    <t>text</t>
  </si>
  <si>
    <t>分析學生答案：{user_answer}，正確答案：{correct_answer}。如果錯誤，提醒學生 (a+b)² = a² + 2ab + b²，檢查「中間項 2ab」是否漏掉或計算錯誤。</t>
  </si>
  <si>
    <t>jh_formula_square_of_diff_expand</t>
  </si>
  <si>
    <t>Formula (Square of Difference)</t>
  </si>
  <si>
    <t>乘法公式 (差的平方)</t>
  </si>
  <si>
    <t>熟練應用 (a-b)² = a² - 2ab + b² 進行展開。</t>
  </si>
  <si>
    <t>分析學生答案：{user_answer}，正確答案：{correct_answer}。如果錯誤，提醒學生 (a-b)² = a² - 2ab + b²，檢查「中間項 -2ab」的符號。</t>
  </si>
  <si>
    <t>jh_formula_diff_of_squares_expand</t>
  </si>
  <si>
    <t>Formula (Difference of Squares)</t>
  </si>
  <si>
    <t>乘法公式 (平方差)</t>
  </si>
  <si>
    <t>熟練應用 (a+b)(a-b) = a² - b² 進行展開。</t>
  </si>
  <si>
    <t>分析學生答案：{user_answer}，正確答案：{correct_answer}。如果錯誤，提醒學生 (a+b)(a-b) = a² - b²，檢查是否寫成 a² - 2ab + b²。</t>
  </si>
  <si>
    <t>jh_poly_def_terms_degree</t>
  </si>
  <si>
    <t>Polynomial Definition (Terms, Degree)</t>
  </si>
  <si>
    <t>多項式 (項/係數/次數)</t>
  </si>
  <si>
    <t>熟練辨識多項式的項、係數、次數，並進行升冪或降冪排列。</t>
  </si>
  <si>
    <t>分析學生答案：{user_answer}，正確答案：{correct_answer}。如果錯誤，提醒學生「次數」是 x 的最高次方，「x² 項係數」是 x² 前面的數字。</t>
  </si>
  <si>
    <t>jh_poly_ops_add_sub_simple</t>
  </si>
  <si>
    <t>Polynomial Addition &amp; Subtraction (Simple)</t>
  </si>
  <si>
    <t>多項式加減法</t>
  </si>
  <si>
    <t>熟練多項式的加法與減法（同類項合併與去括號變號）。</t>
  </si>
  <si>
    <t>分析學生答案：{user_answer}，正確答案：{correct_answer}。如果錯誤，提醒學生「減去」一個多項式時，括號內的「每一項」都要變號。</t>
  </si>
  <si>
    <t>jh_poly_ops_multiply_mono</t>
  </si>
  <si>
    <t>Polynomial Multiplication (Monomial)</t>
  </si>
  <si>
    <t>多項式乘法 (單項式)</t>
  </si>
  <si>
    <t>熟練單項式乘以多項式（應用分配律）。</t>
  </si>
  <si>
    <t>分析學生答案：{user_answer}，正確答案：{correct_answer}。如果錯誤，提醒學生 3x(2x - 5) = (3x)(2x) + (3x)(-5) = 6x² - 15x，注意指數相加。</t>
  </si>
  <si>
    <t>jh_poly_ops_multiply_poly</t>
  </si>
  <si>
    <t>Polynomial Multiplication (Polynomial)</t>
  </si>
  <si>
    <t>多項式乘法 (多項式)</t>
  </si>
  <si>
    <t>熟練多項式乘以多項式（應用分配律或直式乘法）。</t>
  </si>
  <si>
    <t>分析學生答案：{user_answer}，正確答案：{correct_answer}。如果錯誤，引導學生使用直式乘法，並檢查是否有漏乘的項或同類項合併錯誤。</t>
  </si>
  <si>
    <t>jh_poly_ops_divide_poly</t>
  </si>
  <si>
    <t>Polynomial Division (Long Division)</t>
  </si>
  <si>
    <t>多項式除法 (長除法)</t>
  </si>
  <si>
    <t>熟練使用長除法（分離係數法）計算多項式的商式與餘式。</t>
  </si>
  <si>
    <t>分析學生答案：{user_answer}，正確答案：{correct_answer}。如果錯誤，引導學生檢查長除法過程中，每一步的「減法」是否正確（注意正負號），以及「缺項補 0」。</t>
  </si>
  <si>
    <t>jh_poly_division_relation</t>
  </si>
  <si>
    <t>Polynomial Division Relation</t>
  </si>
  <si>
    <t>多項式除法關係式</t>
  </si>
  <si>
    <t>熟練應用 A = BQ + R (被除式 = 除式 × 商式 + 餘式)。</t>
  </si>
  <si>
    <t>分析學生答案：{user_answer}，正確答案：{correct_answer}。如果錯誤，提醒學生 A = BQ + R，並檢查餘式 R 的次數是否小於除式 B 的次數。</t>
  </si>
  <si>
    <t>jh_sqrt_def</t>
  </si>
  <si>
    <t>Square Root Definition</t>
  </si>
  <si>
    <t>平方根的意義</t>
  </si>
  <si>
    <t>根式運算</t>
  </si>
  <si>
    <t>熟練辨識「a 的平方根」與「√a」(a 的算術平方根) 的區別。</t>
  </si>
  <si>
    <t>分析學生答案：{user_answer}，正確答案：{correct_answer}。如果錯誤，提醒學生「9 的平方根」是 ±3；但「√9」(9 的正平方根) 僅代表 3。</t>
  </si>
  <si>
    <t>jh_sqrt_positive_negative</t>
  </si>
  <si>
    <t>Positive &amp; Negative Square Roots</t>
  </si>
  <si>
    <t>正負平方根</t>
  </si>
  <si>
    <t>熟練計算一個正數的「正平方根」與「負平方根」。</t>
  </si>
  <si>
    <t>分析學生答案：{user_answer}，正確答案：{correct_answer}。如果錯誤，提醒學生「負數沒有平方根」，「0 的平方根是 0」。</t>
  </si>
  <si>
    <t>jh_sqrt_simplify_perfect_square</t>
  </si>
  <si>
    <t>Simplify Perfect Square Root</t>
  </si>
  <si>
    <t>化簡 (完全平方數)</t>
  </si>
  <si>
    <t>熟練化簡 √a² = |a|。</t>
  </si>
  <si>
    <t>分析學生答案：{user_answer}，正確答案：{correct_answer}。如果錯誤，提醒學生 √a² = |a|，所以 √( (-5)² ) = |-5| = 5。</t>
  </si>
  <si>
    <t>jh_sqrt_ops_multiply</t>
  </si>
  <si>
    <t>Radical Multiplication</t>
  </si>
  <si>
    <t>根式乘法</t>
  </si>
  <si>
    <t>熟練根式乘法 √a × √b = √ab (a≥0, b≥0)。</t>
  </si>
  <si>
    <t>分析學生答案：{user_answer}，正確答案：{correct_answer}。如果錯誤，提醒學生 √3 × √5 = √15。</t>
  </si>
  <si>
    <t>jh_sqrt_ops_divide</t>
  </si>
  <si>
    <t>Radical Division</t>
  </si>
  <si>
    <t>根式除法</t>
  </si>
  <si>
    <t>熟練根式除法 √a / √b = √(a/b) (a≥0, b&gt;0)。</t>
  </si>
  <si>
    <t>分析學生答案：{user_answer}，正確答案：{correct_answer}。如果錯誤，提醒學生 √15 / √3 = √(15/3) = √5。</t>
  </si>
  <si>
    <t>jh_sqrt_combine_like_terms</t>
  </si>
  <si>
    <t>Combine Like Radicals</t>
  </si>
  <si>
    <t>同類方根合併</t>
  </si>
  <si>
    <t>熟練化簡並合併同類方根（例如 3√2 + 5√2 = 8√2）。</t>
  </si>
  <si>
    <t>分析學生答案：{user_answer}，正確答案：{correct_answer}。如果錯誤，提醒學生「根號內數字相同」的才能合併，如同 3x + 5x = 8x。</t>
  </si>
  <si>
    <t>jh_pythagorean_theorem_calc</t>
  </si>
  <si>
    <t>Pythagorean Theorem (Find Side)</t>
  </si>
  <si>
    <t>畢氏定理 (算邊長)</t>
  </si>
  <si>
    <t>熟練應用畢氏定理 a² + b² = c² 求解直角三角形的邊長。</t>
  </si>
  <si>
    <t>分析學生答案：{user_answer}，正確答案：{correct_answer}。如果錯誤，提醒學生 a² + b² = c² (c 是斜邊)，並檢查是算「股」還是「斜邊」。</t>
  </si>
  <si>
    <t>jh_pythagorean_theorem_converse</t>
  </si>
  <si>
    <t>Pythagorean Theorem (Converse)</t>
  </si>
  <si>
    <t>畢氏定理 (逆定理)</t>
  </si>
  <si>
    <t>熟練應用畢氏逆定理，判斷 a, b, c 三邊是否構成「直角」三角形。</t>
  </si>
  <si>
    <t>分析學生答案：{user_answer}，正確答案：{correct_answer}。如果錯誤，提醒學生檢查是否 a² + b² = c² (兩小邊平方和 = 最大邊平方)，若是，則為直角三角形。</t>
  </si>
  <si>
    <t>jh_factor_def_check</t>
  </si>
  <si>
    <t>Factoring Definition</t>
  </si>
  <si>
    <t>因式分解的意義</t>
  </si>
  <si>
    <t>因式分解</t>
  </si>
  <si>
    <t>熟練判斷一個多項式是否為另一個多項式的因式（餘式為 0）。</t>
  </si>
  <si>
    <t>分析學生答案：{user_answer}，正確答案：{correct_answer}。如果錯誤，提醒學生「因式分解」是將「和/差」的多項式，寫成「乘積」的形式。</t>
  </si>
  <si>
    <t>jh_factor_common_factor</t>
  </si>
  <si>
    <t>Factoring (Common Factor)</t>
  </si>
  <si>
    <t>因式分解 (提公因式)</t>
  </si>
  <si>
    <t>熟練使用「提公因式法」進行因式分解。</t>
  </si>
  <si>
    <t>分析學生答案：{user_answer}，正確答案：{correct_answer}。如果錯誤，引導學生找出「各項」都有的「共同」因式，並將其提出。</t>
  </si>
  <si>
    <t>jh_factor_grouping</t>
  </si>
  <si>
    <t>Factoring (Grouping)</t>
  </si>
  <si>
    <t>因式分解 (分組提公因式)</t>
  </si>
  <si>
    <t>熟練使用「分組提公因式法」（四項）進行因式分解。</t>
  </si>
  <si>
    <t>分析學生答案：{user_answer}，正確答案：{correct_answer}。如果錯誤，引導學生 1. (兩兩分組) 2. (分別提公因式) 3. (提出新的公因式)。</t>
  </si>
  <si>
    <t>jh_factor_diff_of_squares</t>
  </si>
  <si>
    <t>Factoring (Difference of Squares)</t>
  </si>
  <si>
    <t>因式分解 (平方差)</t>
  </si>
  <si>
    <t>熟練應用 a² - b² = (a+b)(a-b) 進行因式分解。</t>
  </si>
  <si>
    <t>分析學生答案：{user_answer}，正確答案：{correct_answer}。如果錯誤，提醒學生公式 a² - b² = (a+b)(a-b)，並檢查 a 和 b 是否找對。</t>
  </si>
  <si>
    <t>jh_factor_square_of_sum_diff</t>
  </si>
  <si>
    <t>Factoring (Perfect Square)</t>
  </si>
  <si>
    <t>因式分解 (和/差的平方)</t>
  </si>
  <si>
    <t>熟練應用 a² ± 2ab + b² = (a ± b)² 進行因式分解。</t>
  </si>
  <si>
    <t>分析學生答案：{user_answer}，正確答案：{correct_answer}。如果錯誤，引導學生檢查 1. 「頭尾」是否為平方數 (a², b²)。 2. 「中間項」是否符合 2ab。</t>
  </si>
  <si>
    <t>jh_factor_cross_method_x2</t>
  </si>
  <si>
    <t>Factoring (Cross Method x^2+px+q)</t>
  </si>
  <si>
    <t>因式分解 (十字交乘法 x²+px+q)</t>
  </si>
  <si>
    <t>熟練 x² + px + q = (x+a)(x+b)，其中 a+b=p 且 ab=q。</t>
  </si>
  <si>
    <t>分析學生答案：{user_answer}，正確答案：{correct_answer}。如果錯誤，引導學生找出「哪兩個數相乘 = q，相加 = p」。</t>
  </si>
  <si>
    <t>jh_factor_cross_method_mx2</t>
  </si>
  <si>
    <t>Factoring (Cross Method mx^2+px+q)</t>
  </si>
  <si>
    <t>因式分解 (十字交乘法 mx²+px+q)</t>
  </si>
  <si>
    <t>熟練使用十字交乘法分解 mx² + px + q。</t>
  </si>
  <si>
    <t>分析學生答案：{user_answer}，正確答案：{correct_answer}。如果錯誤，引導學生使用十字交乘法，並檢查「交叉相乘後相加」是否等於中間項 px。</t>
  </si>
  <si>
    <t>jh_equation_quad_def_check</t>
  </si>
  <si>
    <t>Quadratic Equation Definition</t>
  </si>
  <si>
    <t>認識一元二次方程式</t>
  </si>
  <si>
    <t>方程式</t>
  </si>
  <si>
    <t>熟練辨識一元二次方程式，並將其化為 ax² + bx + c = 0 的一般式。</t>
  </si>
  <si>
    <t>分析學生答案：{user_answer}，正確答案：{correct_answer}。如果錯誤，提醒學生「一元二次」代表未知數最高次方為 2，且 a (二次項係數) 不可為 0。</t>
  </si>
  <si>
    <t>jh_equation_quad_solve_factor_ab_0</t>
  </si>
  <si>
    <t>Solve Quadratic (A·B=0)</t>
  </si>
  <si>
    <t>解一元二次 (A·B=0)</t>
  </si>
  <si>
    <t>熟練應用 A·B = 0 ⇒ A=0 或 B=0 求解已因式分解的方程式。</t>
  </si>
  <si>
    <t>分析學生答案：{user_answer}，正確答案：{correct_answer}。如果錯誤，提醒學生 (x-2)(x+3) = 0 ⇒ x-2=0 或 x+3=0，解得 x=2 或 x=-3。</t>
  </si>
  <si>
    <t>jh_equation_quad_solve_sqrt</t>
  </si>
  <si>
    <t>Solve Quadratic (Square Root Method)</t>
  </si>
  <si>
    <t>解一元二次 (平方根法)</t>
  </si>
  <si>
    <t>熟練使用平方根法解 x² = k 或 (x-a)² = k 形式的方程式。</t>
  </si>
  <si>
    <t>分析學生答案：{user_answer}，正確答案：{correct_answer}。如果錯誤，提醒學生 (x-1)² = 5 ⇒ x-1 = ±√5 ⇒ x = 1 ± √5。</t>
  </si>
  <si>
    <t>jh_equation_quad_solve_complete_square</t>
  </si>
  <si>
    <t>Solve Quadratic (Completing Square)</t>
  </si>
  <si>
    <t>解一元二次 (配方法)</t>
  </si>
  <si>
    <t>熟練使用「配方法」解一元二次方程式。</t>
  </si>
  <si>
    <t>分析學生答案：{user_answer}，正確答案：{correct_answer}。如果錯誤，引導學生 1. 移常數項 2. 兩邊同加「一次項係數一半的平方」 3. 寫成 (x-a)² = k。</t>
  </si>
  <si>
    <t>jh_equation_quad_solve_formula</t>
  </si>
  <si>
    <t>Solve Quadratic (Formula)</t>
  </si>
  <si>
    <t>解一元二次 (公式解)</t>
  </si>
  <si>
    <t>熟練應用一元二次方程式公式解 x = [-b ± √(b²-4ac)] / 2a。</t>
  </si>
  <si>
    <t>分析學生答案：{user_answer}，正確答案：{correct_answer}。如果錯誤，引導學生 1. 判斷 a, b, c。 2. 代入公式 x = [-b ± √(b²-4ac)] / 2a。 3. 檢查 D = b²-4ac 的計算。</t>
  </si>
  <si>
    <t>jh_equation_quad_discriminant</t>
  </si>
  <si>
    <t>Discriminant (b²-4ac)</t>
  </si>
  <si>
    <t>判別式 (b²-4ac)</t>
  </si>
  <si>
    <t>熟練使用判別式 D = b²-4ac 判斷根的性質（兩相異實根、重根、無實根）。</t>
  </si>
  <si>
    <t>分析學生答案：{user_answer}，正確答案：{correct_answer}。如果錯誤，提醒學生 D &gt; 0 (兩相異實根)；D = 0 (重根)；D &lt; 0 (無實根)。</t>
  </si>
  <si>
    <t>jh_equation_quad_word_problem</t>
  </si>
  <si>
    <t>Quadratic Word Problem (Setup &amp; Solve)</t>
  </si>
  <si>
    <t>一元二次應用問題 (列式與求解)</t>
  </si>
  <si>
    <t>熟練依題意列出一元二次方程式並求解，且能判斷解的合理性（不合的解要捨去）。</t>
  </si>
  <si>
    <t>分析學生答案：{user_answer}，正確答案：{correct_answer}。如果錯誤，引導學生 1. 檢查「列式」是否正確。 2. 檢查「公式解」或「因式分解」是否正確。 3. 檢查答案是否符合題意（例如：長度不能是負數）。</t>
  </si>
  <si>
    <t>jh_stats_relative_freq</t>
  </si>
  <si>
    <t>Relative Frequency</t>
  </si>
  <si>
    <t>相對次數</t>
  </si>
  <si>
    <t>統計</t>
  </si>
  <si>
    <t>熟練計算「相對次數」 = (該組次數) / (總次數) (常以 % 表示)。</t>
  </si>
  <si>
    <t>分析學生答案：{user_answer}，正確答案：{correct_answer}。如果錯誤，提醒學生「相對次數 (%)」 = (該組次數 ÷ 總次數) × 100%。</t>
  </si>
  <si>
    <t>jh_stats_cumulative_relative_freq</t>
  </si>
  <si>
    <t>Cumulative Relative Frequency</t>
  </si>
  <si>
    <t>累積相對次數</t>
  </si>
  <si>
    <t>熟練計算「累積相對次數」分配表與折線圖。</t>
  </si>
  <si>
    <t>分析學生答案：{user_answer}，正確答案：{correct_answer}。如果錯誤，引導學生將「相對次數」由小到大累加，最後一組應為 100%。</t>
  </si>
  <si>
    <r>
      <t>[</t>
    </r>
    <r>
      <rPr>
        <sz val="10"/>
        <color rgb="FF000000"/>
        <rFont val="Arial"/>
        <family val="3"/>
        <charset val="136"/>
        <scheme val="minor"/>
      </rPr>
      <t>任務</t>
    </r>
    <r>
      <rPr>
        <sz val="10"/>
        <color rgb="FF000000"/>
        <rFont val="Arial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你是功文式數學助教。你的語氣必須</t>
    </r>
    <r>
      <rPr>
        <sz val="10"/>
        <color rgb="FF000000"/>
        <rFont val="Arial"/>
        <scheme val="minor"/>
      </rPr>
      <t xml:space="preserve"> **</t>
    </r>
    <r>
      <rPr>
        <sz val="10"/>
        <color rgb="FF000000"/>
        <rFont val="Arial"/>
        <family val="3"/>
        <charset val="136"/>
        <scheme val="minor"/>
      </rPr>
      <t>簡潔、中性、專業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 xml:space="preserve">。
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嚴格禁止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：聊天（如</t>
    </r>
    <r>
      <rPr>
        <sz val="10"/>
        <color rgb="FF000000"/>
        <rFont val="Arial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哈囉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）、表情符號（</t>
    </r>
    <r>
      <rPr>
        <sz val="10"/>
        <color rgb="FF000000"/>
        <rFont val="Arial"/>
        <scheme val="minor"/>
      </rPr>
      <t>emoji</t>
    </r>
    <r>
      <rPr>
        <sz val="10"/>
        <color rgb="FF000000"/>
        <rFont val="Arial"/>
        <family val="3"/>
        <charset val="136"/>
        <scheme val="minor"/>
      </rPr>
      <t>）、過度讚美（如</t>
    </r>
    <r>
      <rPr>
        <sz val="10"/>
        <color rgb="FF000000"/>
        <rFont val="Arial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你很棒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、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哇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 xml:space="preserve">）或不必要的鼓勵性廢話。
</t>
    </r>
    <r>
      <rPr>
        <sz val="10"/>
        <color rgb="FF000000"/>
        <rFont val="Arial"/>
        <scheme val="minor"/>
      </rPr>
      <t>[</t>
    </r>
    <r>
      <rPr>
        <sz val="10"/>
        <color rgb="FF000000"/>
        <rFont val="Arial"/>
        <family val="3"/>
        <charset val="136"/>
        <scheme val="minor"/>
      </rPr>
      <t>分析</t>
    </r>
    <r>
      <rPr>
        <sz val="10"/>
        <color rgb="FF000000"/>
        <rFont val="Arial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學生答案：</t>
    </r>
    <r>
      <rPr>
        <sz val="10"/>
        <color rgb="FF000000"/>
        <rFont val="Arial"/>
        <scheme val="minor"/>
      </rPr>
      <t xml:space="preserve">{user_answer}
</t>
    </r>
    <r>
      <rPr>
        <sz val="10"/>
        <color rgb="FF000000"/>
        <rFont val="Arial"/>
        <family val="3"/>
        <charset val="136"/>
        <scheme val="minor"/>
      </rPr>
      <t>正確答案：</t>
    </r>
    <r>
      <rPr>
        <sz val="10"/>
        <color rgb="FF000000"/>
        <rFont val="Arial"/>
        <scheme val="minor"/>
      </rPr>
      <t>{correct_answer}
[</t>
    </r>
    <r>
      <rPr>
        <sz val="10"/>
        <color rgb="FF000000"/>
        <rFont val="Arial"/>
        <family val="3"/>
        <charset val="136"/>
        <scheme val="minor"/>
      </rPr>
      <t>指導</t>
    </r>
    <r>
      <rPr>
        <sz val="10"/>
        <color rgb="FF000000"/>
        <rFont val="Arial"/>
        <scheme val="minor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</si>
</sst>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4"/>
  <sheetViews>
    <sheetView tabSelected="1" topLeftCell="A4" workbookViewId="0">
      <selection activeCell="N2" sqref="N2:N34"/>
    </sheetView>
  </sheetViews>
  <sheetFormatPr defaultColWidth="12.61328125" defaultRowHeight="15.75" customHeight="1" x14ac:dyDescent="0.3"/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</v>
      </c>
      <c r="I2" s="1" t="b">
        <v>1</v>
      </c>
      <c r="J2" s="1">
        <v>5140</v>
      </c>
      <c r="L2" t="str">
        <f>RIGHT(G2,LEN(G2)-43)</f>
        <v>如果錯誤，提醒學生 (a+b)² = a² + 2ab + b²，檢查「中間項 2ab」是否漏掉或計算錯誤。</v>
      </c>
      <c r="M2" s="2" t="s">
        <v>181</v>
      </c>
      <c r="N2" t="str">
        <f>M2&amp;L2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(a+b)² = a² + 2ab + b²，檢查「中間項 2ab」是否漏掉或計算錯誤。</v>
      </c>
    </row>
    <row r="3" spans="1:14" ht="15.75" customHeight="1" x14ac:dyDescent="0.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</v>
      </c>
      <c r="I3" s="1" t="b">
        <v>1</v>
      </c>
      <c r="J3" s="1">
        <v>5150</v>
      </c>
      <c r="L3" t="str">
        <f t="shared" ref="L3:L34" si="0">RIGHT(G3,LEN(G3)-43)</f>
        <v>如果錯誤，提醒學生 (a-b)² = a² - 2ab + b²，檢查「中間項 -2ab」的符號。</v>
      </c>
      <c r="M3" s="2" t="s">
        <v>181</v>
      </c>
      <c r="N3" t="str">
        <f t="shared" ref="N3:N34" si="1">M3&amp;L3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(a-b)² = a² - 2ab + b²，檢查「中間項 -2ab」的符號。</v>
      </c>
    </row>
    <row r="4" spans="1:14" ht="15.75" customHeight="1" x14ac:dyDescent="0.3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</v>
      </c>
      <c r="I4" s="1" t="b">
        <v>1</v>
      </c>
      <c r="J4" s="1">
        <v>5160</v>
      </c>
      <c r="L4" t="str">
        <f t="shared" si="0"/>
        <v>如果錯誤，提醒學生 (a+b)(a-b) = a² - b²，檢查是否寫成 a² - 2ab + b²。</v>
      </c>
      <c r="M4" s="2" t="s">
        <v>181</v>
      </c>
      <c r="N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(a+b)(a-b) = a² - b²，檢查是否寫成 a² - 2ab + b²。</v>
      </c>
    </row>
    <row r="5" spans="1:14" ht="15.75" customHeight="1" x14ac:dyDescent="0.3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</v>
      </c>
      <c r="I5" s="1" t="b">
        <v>1</v>
      </c>
      <c r="J5" s="1">
        <v>5170</v>
      </c>
      <c r="L5" t="str">
        <f t="shared" si="0"/>
        <v>如果錯誤，提醒學生「次數」是 x 的最高次方，「x² 項係數」是 x² 前面的數字。</v>
      </c>
      <c r="M5" s="2" t="s">
        <v>181</v>
      </c>
      <c r="N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[指導]如果錯誤，提醒學生「次數」是 x 的最高次方，「x² 項係數」是 x² 前面的數字。</v>
      </c>
    </row>
    <row r="6" spans="1:14" ht="15.75" customHeight="1" x14ac:dyDescent="0.3">
      <c r="A6" s="1" t="s">
        <v>32</v>
      </c>
      <c r="B6" s="1" t="s">
        <v>33</v>
      </c>
      <c r="C6" s="1" t="s">
        <v>34</v>
      </c>
      <c r="D6" s="1" t="s">
        <v>13</v>
      </c>
      <c r="E6" s="1" t="s">
        <v>35</v>
      </c>
      <c r="F6" s="1" t="s">
        <v>15</v>
      </c>
      <c r="G6" s="1" t="s">
        <v>36</v>
      </c>
      <c r="H6" s="1">
        <v>5</v>
      </c>
      <c r="I6" s="1" t="b">
        <v>1</v>
      </c>
      <c r="J6" s="1">
        <v>5180</v>
      </c>
      <c r="L6" t="str">
        <f t="shared" si="0"/>
        <v>如果錯誤，提醒學生「減去」一個多項式時，括號內的「每一項」都要變號。</v>
      </c>
      <c r="M6" s="2" t="s">
        <v>181</v>
      </c>
      <c r="N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[指導]如果錯誤，提醒學生「減去」一個多項式時，括號內的「每一項」都要變號。</v>
      </c>
    </row>
    <row r="7" spans="1:14" ht="15.75" customHeight="1" x14ac:dyDescent="0.3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F7" s="1" t="s">
        <v>15</v>
      </c>
      <c r="G7" s="1" t="s">
        <v>41</v>
      </c>
      <c r="H7" s="1">
        <v>5</v>
      </c>
      <c r="I7" s="1" t="b">
        <v>1</v>
      </c>
      <c r="J7" s="1">
        <v>5190</v>
      </c>
      <c r="L7" t="str">
        <f t="shared" si="0"/>
        <v>如果錯誤，提醒學生 3x(2x - 5) = (3x)(2x) + (3x)(-5) = 6x² - 15x，注意指數相加。</v>
      </c>
      <c r="M7" s="2" t="s">
        <v>181</v>
      </c>
      <c r="N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3x(2x - 5) = (3x)(2x) + (3x)(-5) = 6x² - 15x，注意指數相加。</v>
      </c>
    </row>
    <row r="8" spans="1:14" ht="15.75" customHeight="1" x14ac:dyDescent="0.3">
      <c r="A8" s="1" t="s">
        <v>42</v>
      </c>
      <c r="B8" s="1" t="s">
        <v>43</v>
      </c>
      <c r="C8" s="1" t="s">
        <v>44</v>
      </c>
      <c r="D8" s="1" t="s">
        <v>13</v>
      </c>
      <c r="E8" s="1" t="s">
        <v>45</v>
      </c>
      <c r="F8" s="1" t="s">
        <v>15</v>
      </c>
      <c r="G8" s="1" t="s">
        <v>46</v>
      </c>
      <c r="H8" s="1">
        <v>5</v>
      </c>
      <c r="I8" s="1" t="b">
        <v>1</v>
      </c>
      <c r="J8" s="1">
        <v>5200</v>
      </c>
      <c r="L8" t="str">
        <f t="shared" si="0"/>
        <v>如果錯誤，引導學生使用直式乘法，並檢查是否有漏乘的項或同類項合併錯誤。</v>
      </c>
      <c r="M8" s="2" t="s">
        <v>181</v>
      </c>
      <c r="N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[指導]如果錯誤，引導學生使用直式乘法，並檢查是否有漏乘的項或同類項合併錯誤。</v>
      </c>
    </row>
    <row r="9" spans="1:14" ht="15.75" customHeight="1" x14ac:dyDescent="0.3">
      <c r="A9" s="1" t="s">
        <v>47</v>
      </c>
      <c r="B9" s="1" t="s">
        <v>48</v>
      </c>
      <c r="C9" s="1" t="s">
        <v>49</v>
      </c>
      <c r="D9" s="1" t="s">
        <v>13</v>
      </c>
      <c r="E9" s="1" t="s">
        <v>50</v>
      </c>
      <c r="F9" s="1" t="s">
        <v>15</v>
      </c>
      <c r="G9" s="1" t="s">
        <v>51</v>
      </c>
      <c r="H9" s="1">
        <v>5</v>
      </c>
      <c r="I9" s="1" t="b">
        <v>1</v>
      </c>
      <c r="J9" s="1">
        <v>5210</v>
      </c>
      <c r="L9" t="str">
        <f t="shared" si="0"/>
        <v>如果錯誤，引導學生檢查長除法過程中，每一步的「減法」是否正確（注意正負號），以及「缺項補 0」。</v>
      </c>
      <c r="M9" s="2" t="s">
        <v>181</v>
      </c>
      <c r="N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[指導]如果錯誤，引導學生檢查長除法過程中，每一步的「減法」是否正確（注意正負號），以及「缺項補 0」。</v>
      </c>
    </row>
    <row r="10" spans="1:14" ht="15.75" customHeight="1" x14ac:dyDescent="0.3">
      <c r="A10" s="1" t="s">
        <v>52</v>
      </c>
      <c r="B10" s="1" t="s">
        <v>53</v>
      </c>
      <c r="C10" s="1" t="s">
        <v>54</v>
      </c>
      <c r="D10" s="1" t="s">
        <v>13</v>
      </c>
      <c r="E10" s="1" t="s">
        <v>55</v>
      </c>
      <c r="F10" s="1" t="s">
        <v>15</v>
      </c>
      <c r="G10" s="1" t="s">
        <v>56</v>
      </c>
      <c r="H10" s="1">
        <v>5</v>
      </c>
      <c r="I10" s="1" t="b">
        <v>1</v>
      </c>
      <c r="J10" s="1">
        <v>5220</v>
      </c>
      <c r="L10" t="str">
        <f t="shared" si="0"/>
        <v>如果錯誤，提醒學生 A = BQ + R，並檢查餘式 R 的次數是否小於除式 B 的次數。</v>
      </c>
      <c r="M10" s="2" t="s">
        <v>181</v>
      </c>
      <c r="N1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= BQ + R，並檢查餘式 R 的次數是否小於除式 B 的次數。</v>
      </c>
    </row>
    <row r="11" spans="1:14" ht="15.75" customHeight="1" x14ac:dyDescent="0.3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15</v>
      </c>
      <c r="G11" s="1" t="s">
        <v>62</v>
      </c>
      <c r="H11" s="1">
        <v>5</v>
      </c>
      <c r="I11" s="1" t="b">
        <v>1</v>
      </c>
      <c r="J11" s="1">
        <v>5230</v>
      </c>
      <c r="L11" t="str">
        <f t="shared" si="0"/>
        <v>如果錯誤，提醒學生「9 的平方根」是 ±3；但「√9」(9 的正平方根) 僅代表 3。</v>
      </c>
      <c r="M11" s="2" t="s">
        <v>181</v>
      </c>
      <c r="N1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[指導]如果錯誤，提醒學生「9 的平方根」是 ±3；但「√9」(9 的正平方根) 僅代表 3。</v>
      </c>
    </row>
    <row r="12" spans="1:14" ht="15.75" customHeight="1" x14ac:dyDescent="0.3">
      <c r="A12" s="1" t="s">
        <v>63</v>
      </c>
      <c r="B12" s="1" t="s">
        <v>64</v>
      </c>
      <c r="C12" s="1" t="s">
        <v>65</v>
      </c>
      <c r="D12" s="1" t="s">
        <v>60</v>
      </c>
      <c r="E12" s="1" t="s">
        <v>66</v>
      </c>
      <c r="F12" s="1" t="s">
        <v>15</v>
      </c>
      <c r="G12" s="1" t="s">
        <v>67</v>
      </c>
      <c r="H12" s="1">
        <v>5</v>
      </c>
      <c r="I12" s="1" t="b">
        <v>1</v>
      </c>
      <c r="J12" s="1">
        <v>5240</v>
      </c>
      <c r="L12" t="str">
        <f t="shared" si="0"/>
        <v>如果錯誤，提醒學生「負數沒有平方根」，「0 的平方根是 0」。</v>
      </c>
      <c r="M12" s="2" t="s">
        <v>181</v>
      </c>
      <c r="N1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[指導]如果錯誤，提醒學生「負數沒有平方根」，「0 的平方根是 0」。</v>
      </c>
    </row>
    <row r="13" spans="1:14" ht="15.75" customHeight="1" x14ac:dyDescent="0.3">
      <c r="A13" s="1" t="s">
        <v>68</v>
      </c>
      <c r="B13" s="1" t="s">
        <v>69</v>
      </c>
      <c r="C13" s="1" t="s">
        <v>70</v>
      </c>
      <c r="D13" s="1" t="s">
        <v>60</v>
      </c>
      <c r="E13" s="1" t="s">
        <v>71</v>
      </c>
      <c r="F13" s="1" t="s">
        <v>15</v>
      </c>
      <c r="G13" s="1" t="s">
        <v>72</v>
      </c>
      <c r="H13" s="1">
        <v>5</v>
      </c>
      <c r="I13" s="1" t="b">
        <v>1</v>
      </c>
      <c r="J13" s="1">
        <v>5250</v>
      </c>
      <c r="L13" t="str">
        <f t="shared" si="0"/>
        <v>如果錯誤，提醒學生 √a² = |a|，所以 √( (-5)² ) = |-5| = 5。</v>
      </c>
      <c r="M13" s="2" t="s">
        <v>181</v>
      </c>
      <c r="N1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√a² = |a|，所以 √( (-5)² ) = |-5| = 5。</v>
      </c>
    </row>
    <row r="14" spans="1:14" ht="15.75" customHeight="1" x14ac:dyDescent="0.3">
      <c r="A14" s="1" t="s">
        <v>73</v>
      </c>
      <c r="B14" s="1" t="s">
        <v>74</v>
      </c>
      <c r="C14" s="1" t="s">
        <v>75</v>
      </c>
      <c r="D14" s="1" t="s">
        <v>60</v>
      </c>
      <c r="E14" s="1" t="s">
        <v>76</v>
      </c>
      <c r="F14" s="1" t="s">
        <v>15</v>
      </c>
      <c r="G14" s="1" t="s">
        <v>77</v>
      </c>
      <c r="H14" s="1">
        <v>5</v>
      </c>
      <c r="I14" s="1" t="b">
        <v>1</v>
      </c>
      <c r="J14" s="1">
        <v>5260</v>
      </c>
      <c r="L14" t="str">
        <f t="shared" si="0"/>
        <v>如果錯誤，提醒學生 √3 × √5 = √15。</v>
      </c>
      <c r="M14" s="2" t="s">
        <v>181</v>
      </c>
      <c r="N1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√3 × √5 = √15。</v>
      </c>
    </row>
    <row r="15" spans="1:14" ht="15.75" customHeight="1" x14ac:dyDescent="0.3">
      <c r="A15" s="1" t="s">
        <v>78</v>
      </c>
      <c r="B15" s="1" t="s">
        <v>79</v>
      </c>
      <c r="C15" s="1" t="s">
        <v>80</v>
      </c>
      <c r="D15" s="1" t="s">
        <v>60</v>
      </c>
      <c r="E15" s="1" t="s">
        <v>81</v>
      </c>
      <c r="F15" s="1" t="s">
        <v>15</v>
      </c>
      <c r="G15" s="1" t="s">
        <v>82</v>
      </c>
      <c r="H15" s="1">
        <v>5</v>
      </c>
      <c r="I15" s="1" t="b">
        <v>1</v>
      </c>
      <c r="J15" s="1">
        <v>5270</v>
      </c>
      <c r="L15" t="str">
        <f t="shared" si="0"/>
        <v>如果錯誤，提醒學生 √15 / √3 = √(15/3) = √5。</v>
      </c>
      <c r="M15" s="2" t="s">
        <v>181</v>
      </c>
      <c r="N1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√15 / √3 = √(15/3) = √5。</v>
      </c>
    </row>
    <row r="16" spans="1:14" ht="15.75" customHeight="1" x14ac:dyDescent="0.3">
      <c r="A16" s="1" t="s">
        <v>83</v>
      </c>
      <c r="B16" s="1" t="s">
        <v>84</v>
      </c>
      <c r="C16" s="1" t="s">
        <v>85</v>
      </c>
      <c r="D16" s="1" t="s">
        <v>60</v>
      </c>
      <c r="E16" s="1" t="s">
        <v>86</v>
      </c>
      <c r="F16" s="1" t="s">
        <v>15</v>
      </c>
      <c r="G16" s="1" t="s">
        <v>87</v>
      </c>
      <c r="H16" s="1">
        <v>5</v>
      </c>
      <c r="I16" s="1" t="b">
        <v>1</v>
      </c>
      <c r="J16" s="1">
        <v>5280</v>
      </c>
      <c r="L16" t="str">
        <f t="shared" si="0"/>
        <v>如果錯誤，提醒學生「根號內數字相同」的才能合併，如同 3x + 5x = 8x。</v>
      </c>
      <c r="M16" s="2" t="s">
        <v>181</v>
      </c>
      <c r="N1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[指導]如果錯誤，提醒學生「根號內數字相同」的才能合併，如同 3x + 5x = 8x。</v>
      </c>
    </row>
    <row r="17" spans="1:14" ht="15.75" customHeight="1" x14ac:dyDescent="0.3">
      <c r="A17" s="1" t="s">
        <v>88</v>
      </c>
      <c r="B17" s="1" t="s">
        <v>89</v>
      </c>
      <c r="C17" s="1" t="s">
        <v>90</v>
      </c>
      <c r="D17" s="1" t="s">
        <v>60</v>
      </c>
      <c r="E17" s="1" t="s">
        <v>91</v>
      </c>
      <c r="F17" s="1" t="s">
        <v>15</v>
      </c>
      <c r="G17" s="1" t="s">
        <v>92</v>
      </c>
      <c r="H17" s="1">
        <v>5</v>
      </c>
      <c r="I17" s="1" t="b">
        <v>1</v>
      </c>
      <c r="J17" s="1">
        <v>5290</v>
      </c>
      <c r="L17" t="str">
        <f t="shared" si="0"/>
        <v>如果錯誤，提醒學生 a² + b² = c² (c 是斜邊)，並檢查是算「股」還是「斜邊」。</v>
      </c>
      <c r="M17" s="2" t="s">
        <v>181</v>
      </c>
      <c r="N1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a² + b² = c² (c 是斜邊)，並檢查是算「股」還是「斜邊」。</v>
      </c>
    </row>
    <row r="18" spans="1:14" ht="15.75" customHeight="1" x14ac:dyDescent="0.3">
      <c r="A18" s="1" t="s">
        <v>93</v>
      </c>
      <c r="B18" s="1" t="s">
        <v>94</v>
      </c>
      <c r="C18" s="1" t="s">
        <v>95</v>
      </c>
      <c r="D18" s="1" t="s">
        <v>60</v>
      </c>
      <c r="E18" s="1" t="s">
        <v>96</v>
      </c>
      <c r="F18" s="1" t="s">
        <v>15</v>
      </c>
      <c r="G18" s="1" t="s">
        <v>97</v>
      </c>
      <c r="H18" s="1">
        <v>5</v>
      </c>
      <c r="I18" s="1" t="b">
        <v>1</v>
      </c>
      <c r="J18" s="1">
        <v>5300</v>
      </c>
      <c r="L18" t="str">
        <f t="shared" si="0"/>
        <v>如果錯誤，提醒學生檢查是否 a² + b² = c² (兩小邊平方和 = 最大邊平方)，若是，則為直角三角形。</v>
      </c>
      <c r="M18" s="2" t="s">
        <v>181</v>
      </c>
      <c r="N1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[指導]如果錯誤，提醒學生檢查是否 a² + b² = c² (兩小邊平方和 = 最大邊平方)，若是，則為直角三角形。</v>
      </c>
    </row>
    <row r="19" spans="1:14" ht="15.75" customHeight="1" x14ac:dyDescent="0.3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15</v>
      </c>
      <c r="G19" s="1" t="s">
        <v>103</v>
      </c>
      <c r="H19" s="1">
        <v>5</v>
      </c>
      <c r="I19" s="1" t="b">
        <v>1</v>
      </c>
      <c r="J19" s="1">
        <v>5310</v>
      </c>
      <c r="L19" t="str">
        <f t="shared" si="0"/>
        <v>如果錯誤，提醒學生「因式分解」是將「和/差」的多項式，寫成「乘積」的形式。</v>
      </c>
      <c r="M19" s="2" t="s">
        <v>181</v>
      </c>
      <c r="N1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[指導]如果錯誤，提醒學生「因式分解」是將「和/差」的多項式，寫成「乘積」的形式。</v>
      </c>
    </row>
    <row r="20" spans="1:14" ht="15.75" customHeight="1" x14ac:dyDescent="0.3">
      <c r="A20" s="1" t="s">
        <v>104</v>
      </c>
      <c r="B20" s="1" t="s">
        <v>105</v>
      </c>
      <c r="C20" s="1" t="s">
        <v>106</v>
      </c>
      <c r="D20" s="1" t="s">
        <v>101</v>
      </c>
      <c r="E20" s="1" t="s">
        <v>107</v>
      </c>
      <c r="F20" s="1" t="s">
        <v>15</v>
      </c>
      <c r="G20" s="1" t="s">
        <v>108</v>
      </c>
      <c r="H20" s="1">
        <v>5</v>
      </c>
      <c r="I20" s="1" t="b">
        <v>1</v>
      </c>
      <c r="J20" s="1">
        <v>5320</v>
      </c>
      <c r="L20" t="str">
        <f t="shared" si="0"/>
        <v>如果錯誤，引導學生找出「各項」都有的「共同」因式，並將其提出。</v>
      </c>
      <c r="M20" s="2" t="s">
        <v>181</v>
      </c>
      <c r="N2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[指導]如果錯誤，引導學生找出「各項」都有的「共同」因式，並將其提出。</v>
      </c>
    </row>
    <row r="21" spans="1:14" ht="15.75" customHeight="1" x14ac:dyDescent="0.3">
      <c r="A21" s="1" t="s">
        <v>109</v>
      </c>
      <c r="B21" s="1" t="s">
        <v>110</v>
      </c>
      <c r="C21" s="1" t="s">
        <v>111</v>
      </c>
      <c r="D21" s="1" t="s">
        <v>101</v>
      </c>
      <c r="E21" s="1" t="s">
        <v>112</v>
      </c>
      <c r="F21" s="1" t="s">
        <v>15</v>
      </c>
      <c r="G21" s="1" t="s">
        <v>113</v>
      </c>
      <c r="H21" s="1">
        <v>5</v>
      </c>
      <c r="I21" s="1" t="b">
        <v>1</v>
      </c>
      <c r="J21" s="1">
        <v>5330</v>
      </c>
      <c r="L21" t="str">
        <f t="shared" si="0"/>
        <v>如果錯誤，引導學生 1. (兩兩分組) 2. (分別提公因式) 3. (提出新的公因式)。</v>
      </c>
      <c r="M21" s="2" t="s">
        <v>181</v>
      </c>
      <c r="N2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(兩兩分組) 2. (分別提公因式) 3. (提出新的公因式)。</v>
      </c>
    </row>
    <row r="22" spans="1:14" ht="15.75" customHeight="1" x14ac:dyDescent="0.3">
      <c r="A22" s="1" t="s">
        <v>114</v>
      </c>
      <c r="B22" s="1" t="s">
        <v>115</v>
      </c>
      <c r="C22" s="1" t="s">
        <v>116</v>
      </c>
      <c r="D22" s="1" t="s">
        <v>101</v>
      </c>
      <c r="E22" s="1" t="s">
        <v>117</v>
      </c>
      <c r="F22" s="1" t="s">
        <v>15</v>
      </c>
      <c r="G22" s="1" t="s">
        <v>118</v>
      </c>
      <c r="H22" s="1">
        <v>5</v>
      </c>
      <c r="I22" s="1" t="b">
        <v>1</v>
      </c>
      <c r="J22" s="1">
        <v>5340</v>
      </c>
      <c r="L22" t="str">
        <f t="shared" si="0"/>
        <v>如果錯誤，提醒學生公式 a² - b² = (a+b)(a-b)，並檢查 a 和 b 是否找對。</v>
      </c>
      <c r="M22" s="2" t="s">
        <v>181</v>
      </c>
      <c r="N2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a² - b² = (a+b)(a-b)，並檢查 a 和 b 是否找對。</v>
      </c>
    </row>
    <row r="23" spans="1:14" ht="15.75" customHeight="1" x14ac:dyDescent="0.3">
      <c r="A23" s="1" t="s">
        <v>119</v>
      </c>
      <c r="B23" s="1" t="s">
        <v>120</v>
      </c>
      <c r="C23" s="1" t="s">
        <v>121</v>
      </c>
      <c r="D23" s="1" t="s">
        <v>101</v>
      </c>
      <c r="E23" s="1" t="s">
        <v>122</v>
      </c>
      <c r="F23" s="1" t="s">
        <v>15</v>
      </c>
      <c r="G23" s="1" t="s">
        <v>123</v>
      </c>
      <c r="H23" s="1">
        <v>5</v>
      </c>
      <c r="I23" s="1" t="b">
        <v>1</v>
      </c>
      <c r="J23" s="1">
        <v>5350</v>
      </c>
      <c r="L23" t="str">
        <f t="shared" si="0"/>
        <v>如果錯誤，引導學生檢查 1. 「頭尾」是否為平方數 (a², b²)。 2. 「中間項」是否符合 2ab。</v>
      </c>
      <c r="M23" s="2" t="s">
        <v>181</v>
      </c>
      <c r="N2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1. 「頭尾」是否為平方數 (a², b²)。 2. 「中間項」是否符合 2ab。</v>
      </c>
    </row>
    <row r="24" spans="1:14" ht="15.75" customHeight="1" x14ac:dyDescent="0.3">
      <c r="A24" s="1" t="s">
        <v>124</v>
      </c>
      <c r="B24" s="1" t="s">
        <v>125</v>
      </c>
      <c r="C24" s="1" t="s">
        <v>126</v>
      </c>
      <c r="D24" s="1" t="s">
        <v>101</v>
      </c>
      <c r="E24" s="1" t="s">
        <v>127</v>
      </c>
      <c r="F24" s="1" t="s">
        <v>15</v>
      </c>
      <c r="G24" s="1" t="s">
        <v>128</v>
      </c>
      <c r="H24" s="1">
        <v>5</v>
      </c>
      <c r="I24" s="1" t="b">
        <v>1</v>
      </c>
      <c r="J24" s="1">
        <v>5360</v>
      </c>
      <c r="L24" t="str">
        <f t="shared" si="0"/>
        <v>如果錯誤，引導學生找出「哪兩個數相乘 = q，相加 = p」。</v>
      </c>
      <c r="M24" s="2" t="s">
        <v>181</v>
      </c>
      <c r="N2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[指導]如果錯誤，引導學生找出「哪兩個數相乘 = q，相加 = p」。</v>
      </c>
    </row>
    <row r="25" spans="1:14" ht="15.75" customHeight="1" x14ac:dyDescent="0.3">
      <c r="A25" s="1" t="s">
        <v>129</v>
      </c>
      <c r="B25" s="1" t="s">
        <v>130</v>
      </c>
      <c r="C25" s="1" t="s">
        <v>131</v>
      </c>
      <c r="D25" s="1" t="s">
        <v>101</v>
      </c>
      <c r="E25" s="1" t="s">
        <v>132</v>
      </c>
      <c r="F25" s="1" t="s">
        <v>15</v>
      </c>
      <c r="G25" s="1" t="s">
        <v>133</v>
      </c>
      <c r="H25" s="1">
        <v>5</v>
      </c>
      <c r="I25" s="1" t="b">
        <v>1</v>
      </c>
      <c r="J25" s="1">
        <v>5370</v>
      </c>
      <c r="L25" t="str">
        <f t="shared" si="0"/>
        <v>如果錯誤，引導學生使用十字交乘法，並檢查「交叉相乘後相加」是否等於中間項 px。</v>
      </c>
      <c r="M25" s="2" t="s">
        <v>181</v>
      </c>
      <c r="N2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[指導]如果錯誤，引導學生使用十字交乘法，並檢查「交叉相乘後相加」是否等於中間項 px。</v>
      </c>
    </row>
    <row r="26" spans="1:14" ht="15.75" customHeight="1" x14ac:dyDescent="0.3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15</v>
      </c>
      <c r="G26" s="1" t="s">
        <v>139</v>
      </c>
      <c r="H26" s="1">
        <v>5</v>
      </c>
      <c r="I26" s="1" t="b">
        <v>1</v>
      </c>
      <c r="J26" s="1">
        <v>5380</v>
      </c>
      <c r="L26" t="str">
        <f t="shared" si="0"/>
        <v>如果錯誤，提醒學生「一元二次」代表未知數最高次方為 2，且 a (二次項係數) 不可為 0。</v>
      </c>
      <c r="M26" s="2" t="s">
        <v>181</v>
      </c>
      <c r="N2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[指導]如果錯誤，提醒學生「一元二次」代表未知數最高次方為 2，且 a (二次項係數) 不可為 0。</v>
      </c>
    </row>
    <row r="27" spans="1:14" ht="15.75" customHeight="1" x14ac:dyDescent="0.3">
      <c r="A27" s="1" t="s">
        <v>140</v>
      </c>
      <c r="B27" s="1" t="s">
        <v>141</v>
      </c>
      <c r="C27" s="1" t="s">
        <v>142</v>
      </c>
      <c r="D27" s="1" t="s">
        <v>137</v>
      </c>
      <c r="E27" s="1" t="s">
        <v>143</v>
      </c>
      <c r="F27" s="1" t="s">
        <v>15</v>
      </c>
      <c r="G27" s="1" t="s">
        <v>144</v>
      </c>
      <c r="H27" s="1">
        <v>5</v>
      </c>
      <c r="I27" s="1" t="b">
        <v>1</v>
      </c>
      <c r="J27" s="1">
        <v>5390</v>
      </c>
      <c r="L27" t="str">
        <f t="shared" si="0"/>
        <v>如果錯誤，提醒學生 (x-2)(x+3) = 0 ⇒ x-2=0 或 x+3=0，解得 x=2 或 x=-3。</v>
      </c>
      <c r="M27" s="2" t="s">
        <v>181</v>
      </c>
      <c r="N2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(x-2)(x+3) = 0 ⇒ x-2=0 或 x+3=0，解得 x=2 或 x=-3。</v>
      </c>
    </row>
    <row r="28" spans="1:14" ht="15.75" customHeight="1" x14ac:dyDescent="0.3">
      <c r="A28" s="1" t="s">
        <v>145</v>
      </c>
      <c r="B28" s="1" t="s">
        <v>146</v>
      </c>
      <c r="C28" s="1" t="s">
        <v>147</v>
      </c>
      <c r="D28" s="1" t="s">
        <v>137</v>
      </c>
      <c r="E28" s="1" t="s">
        <v>148</v>
      </c>
      <c r="F28" s="1" t="s">
        <v>15</v>
      </c>
      <c r="G28" s="1" t="s">
        <v>149</v>
      </c>
      <c r="H28" s="1">
        <v>5</v>
      </c>
      <c r="I28" s="1" t="b">
        <v>1</v>
      </c>
      <c r="J28" s="1">
        <v>5400</v>
      </c>
      <c r="L28" t="str">
        <f t="shared" si="0"/>
        <v>如果錯誤，提醒學生 (x-1)² = 5 ⇒ x-1 = ±√5 ⇒ x = 1 ± √5。</v>
      </c>
      <c r="M28" s="2" t="s">
        <v>181</v>
      </c>
      <c r="N2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(x-1)² = 5 ⇒ x-1 = ±√5 ⇒ x = 1 ± √5。</v>
      </c>
    </row>
    <row r="29" spans="1:14" ht="15.75" customHeight="1" x14ac:dyDescent="0.3">
      <c r="A29" s="1" t="s">
        <v>150</v>
      </c>
      <c r="B29" s="1" t="s">
        <v>151</v>
      </c>
      <c r="C29" s="1" t="s">
        <v>152</v>
      </c>
      <c r="D29" s="1" t="s">
        <v>137</v>
      </c>
      <c r="E29" s="1" t="s">
        <v>153</v>
      </c>
      <c r="F29" s="1" t="s">
        <v>15</v>
      </c>
      <c r="G29" s="1" t="s">
        <v>154</v>
      </c>
      <c r="H29" s="1">
        <v>5</v>
      </c>
      <c r="I29" s="1" t="b">
        <v>1</v>
      </c>
      <c r="J29" s="1">
        <v>5410</v>
      </c>
      <c r="L29" t="str">
        <f t="shared" si="0"/>
        <v>如果錯誤，引導學生 1. 移常數項 2. 兩邊同加「一次項係數一半的平方」 3. 寫成 (x-a)² = k。</v>
      </c>
      <c r="M29" s="2" t="s">
        <v>181</v>
      </c>
      <c r="N2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移常數項 2. 兩邊同加「一次項係數一半的平方」 3. 寫成 (x-a)² = k。</v>
      </c>
    </row>
    <row r="30" spans="1:14" ht="15.75" customHeight="1" x14ac:dyDescent="0.3">
      <c r="A30" s="1" t="s">
        <v>155</v>
      </c>
      <c r="B30" s="1" t="s">
        <v>156</v>
      </c>
      <c r="C30" s="1" t="s">
        <v>157</v>
      </c>
      <c r="D30" s="1" t="s">
        <v>137</v>
      </c>
      <c r="E30" s="1" t="s">
        <v>158</v>
      </c>
      <c r="F30" s="1" t="s">
        <v>15</v>
      </c>
      <c r="G30" s="1" t="s">
        <v>159</v>
      </c>
      <c r="H30" s="1">
        <v>5</v>
      </c>
      <c r="I30" s="1" t="b">
        <v>1</v>
      </c>
      <c r="J30" s="1">
        <v>5420</v>
      </c>
      <c r="L30" t="str">
        <f t="shared" si="0"/>
        <v>如果錯誤，引導學生 1. 判斷 a, b, c。 2. 代入公式 x = [-b ± √(b²-4ac)] / 2a。 3. 檢查 D = b²-4ac 的計算。</v>
      </c>
      <c r="M30" s="2" t="s">
        <v>181</v>
      </c>
      <c r="N3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判斷 a, b, c。 2. 代入公式 x = [-b ± √(b²-4ac)] / 2a。 3. 檢查 D = b²-4ac 的計算。</v>
      </c>
    </row>
    <row r="31" spans="1:14" ht="15.75" customHeight="1" x14ac:dyDescent="0.3">
      <c r="A31" s="1" t="s">
        <v>160</v>
      </c>
      <c r="B31" s="1" t="s">
        <v>161</v>
      </c>
      <c r="C31" s="1" t="s">
        <v>162</v>
      </c>
      <c r="D31" s="1" t="s">
        <v>137</v>
      </c>
      <c r="E31" s="1" t="s">
        <v>163</v>
      </c>
      <c r="F31" s="1" t="s">
        <v>15</v>
      </c>
      <c r="G31" s="1" t="s">
        <v>164</v>
      </c>
      <c r="H31" s="1">
        <v>5</v>
      </c>
      <c r="I31" s="1" t="b">
        <v>1</v>
      </c>
      <c r="J31" s="1">
        <v>5430</v>
      </c>
      <c r="L31" t="str">
        <f t="shared" si="0"/>
        <v>如果錯誤，提醒學生 D &gt; 0 (兩相異實根)；D = 0 (重根)；D &lt; 0 (無實根)。</v>
      </c>
      <c r="M31" s="2" t="s">
        <v>181</v>
      </c>
      <c r="N3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(兩相異實根)；D = 0 (重根)；D &lt; 0 (無實根)。</v>
      </c>
    </row>
    <row r="32" spans="1:14" ht="15.75" customHeight="1" x14ac:dyDescent="0.3">
      <c r="A32" s="1" t="s">
        <v>165</v>
      </c>
      <c r="B32" s="1" t="s">
        <v>166</v>
      </c>
      <c r="C32" s="1" t="s">
        <v>167</v>
      </c>
      <c r="D32" s="1" t="s">
        <v>137</v>
      </c>
      <c r="E32" s="1" t="s">
        <v>168</v>
      </c>
      <c r="F32" s="1" t="s">
        <v>15</v>
      </c>
      <c r="G32" s="1" t="s">
        <v>169</v>
      </c>
      <c r="H32" s="1">
        <v>5</v>
      </c>
      <c r="I32" s="1" t="b">
        <v>1</v>
      </c>
      <c r="J32" s="1">
        <v>5440</v>
      </c>
      <c r="L32" t="str">
        <f t="shared" si="0"/>
        <v>如果錯誤，引導學生 1. 檢查「列式」是否正確。 2. 檢查「公式解」或「因式分解」是否正確。 3. 檢查答案是否符合題意（例如：長度不能是負數）。</v>
      </c>
      <c r="M32" s="2" t="s">
        <v>181</v>
      </c>
      <c r="N3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檢查「公式解」或「因式分解」是否正確。 3. 檢查答案是否符合題意（例如：長度不能是負數）。</v>
      </c>
    </row>
    <row r="33" spans="1:14" ht="15.75" customHeight="1" x14ac:dyDescent="0.3">
      <c r="A33" s="1" t="s">
        <v>170</v>
      </c>
      <c r="B33" s="1" t="s">
        <v>171</v>
      </c>
      <c r="C33" s="1" t="s">
        <v>172</v>
      </c>
      <c r="D33" s="1" t="s">
        <v>173</v>
      </c>
      <c r="E33" s="1" t="s">
        <v>174</v>
      </c>
      <c r="F33" s="1" t="s">
        <v>15</v>
      </c>
      <c r="G33" s="1" t="s">
        <v>175</v>
      </c>
      <c r="H33" s="1">
        <v>5</v>
      </c>
      <c r="I33" s="1" t="b">
        <v>1</v>
      </c>
      <c r="J33" s="1">
        <v>5450</v>
      </c>
      <c r="L33" t="str">
        <f t="shared" si="0"/>
        <v>如果錯誤，提醒學生「相對次數 (%)」 = (該組次數 ÷ 總次數) × 100%。</v>
      </c>
      <c r="M33" s="2" t="s">
        <v>181</v>
      </c>
      <c r="N3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[指導]如果錯誤，提醒學生「相對次數 (%)」 = (該組次數 ÷ 總次數) × 100%。</v>
      </c>
    </row>
    <row r="34" spans="1:14" ht="15.75" customHeight="1" x14ac:dyDescent="0.3">
      <c r="A34" s="1" t="s">
        <v>176</v>
      </c>
      <c r="B34" s="1" t="s">
        <v>177</v>
      </c>
      <c r="C34" s="1" t="s">
        <v>178</v>
      </c>
      <c r="D34" s="1" t="s">
        <v>173</v>
      </c>
      <c r="E34" s="1" t="s">
        <v>179</v>
      </c>
      <c r="F34" s="1" t="s">
        <v>15</v>
      </c>
      <c r="G34" s="1" t="s">
        <v>180</v>
      </c>
      <c r="H34" s="1">
        <v>5</v>
      </c>
      <c r="I34" s="1" t="b">
        <v>1</v>
      </c>
      <c r="J34" s="1">
        <v>5460</v>
      </c>
      <c r="L34" t="str">
        <f t="shared" si="0"/>
        <v>如果錯誤，引導學生將「相對次數」由小到大累加，最後一組應為 100%。</v>
      </c>
      <c r="M34" s="2" t="s">
        <v>181</v>
      </c>
      <c r="N3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[指導]如果錯誤，引導學生將「相對次數」由小到大累加，最後一組應為 100%。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已上是後半部分 請合併送出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2025-11-08T04:27:15Z</dcterms:modified>
</cp:coreProperties>
</file>