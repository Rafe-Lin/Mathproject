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國中\skills_info\"/>
    </mc:Choice>
  </mc:AlternateContent>
  <bookViews>
    <workbookView xWindow="0" yWindow="0" windowWidth="32914" windowHeight="11083"/>
  </bookViews>
  <sheets>
    <sheet name="規則一樣 這是這個系統的使用者主要會使用的部分 依功文數學的精" sheetId="1" r:id="rId1"/>
  </sheets>
  <calcPr calcId="162913"/>
</workbook>
</file>

<file path=xl/calcChain.xml><?xml version="1.0" encoding="utf-8"?>
<calcChain xmlns="http://schemas.openxmlformats.org/spreadsheetml/2006/main">
  <c r="L4" i="1" l="1"/>
  <c r="L5" i="1"/>
  <c r="N5" i="1" s="1"/>
  <c r="L6" i="1"/>
  <c r="N6" i="1" s="1"/>
  <c r="L3" i="1"/>
  <c r="N3" i="1" s="1"/>
  <c r="L18" i="1"/>
  <c r="N18" i="1" s="1"/>
  <c r="L17" i="1"/>
  <c r="N17" i="1" s="1"/>
  <c r="L13" i="1"/>
  <c r="N13" i="1" s="1"/>
  <c r="N4" i="1"/>
  <c r="L7" i="1"/>
  <c r="N7" i="1" s="1"/>
  <c r="L8" i="1"/>
  <c r="N8" i="1" s="1"/>
  <c r="L9" i="1"/>
  <c r="N9" i="1" s="1"/>
  <c r="L10" i="1"/>
  <c r="N10" i="1" s="1"/>
  <c r="L11" i="1"/>
  <c r="N11" i="1" s="1"/>
  <c r="L12" i="1"/>
  <c r="N12" i="1" s="1"/>
  <c r="L14" i="1"/>
  <c r="N14" i="1" s="1"/>
  <c r="L15" i="1"/>
  <c r="N15" i="1" s="1"/>
  <c r="L16" i="1"/>
  <c r="N16" i="1" s="1"/>
  <c r="L19" i="1"/>
  <c r="N19" i="1" s="1"/>
  <c r="L20" i="1"/>
  <c r="N20" i="1"/>
  <c r="L21" i="1"/>
  <c r="N21" i="1" s="1"/>
  <c r="L22" i="1"/>
  <c r="N22" i="1" s="1"/>
  <c r="L23" i="1"/>
  <c r="N23" i="1" s="1"/>
  <c r="L24" i="1"/>
  <c r="N24" i="1"/>
  <c r="L25" i="1"/>
  <c r="N25" i="1" s="1"/>
  <c r="L26" i="1"/>
  <c r="N26" i="1" s="1"/>
  <c r="L27" i="1"/>
  <c r="N27" i="1" s="1"/>
  <c r="L28" i="1"/>
  <c r="N28" i="1" s="1"/>
  <c r="L29" i="1"/>
  <c r="N29" i="1" s="1"/>
  <c r="L2" i="1"/>
  <c r="N2" i="1" s="1"/>
</calcChain>
</file>

<file path=xl/sharedStrings.xml><?xml version="1.0" encoding="utf-8"?>
<sst xmlns="http://schemas.openxmlformats.org/spreadsheetml/2006/main" count="234" uniqueCount="157">
  <si>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</si>
  <si>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</si>
  <si>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</si>
  <si>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</si>
  <si>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</si>
  <si>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</si>
  <si>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</si>
  <si>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</si>
  <si>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</si>
  <si>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</si>
  <si>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jh_quad_func_def</t>
  </si>
  <si>
    <t>Quadratic Function Definition</t>
  </si>
  <si>
    <t>認識二次函數</t>
  </si>
  <si>
    <t>二次函數</t>
  </si>
  <si>
    <t>熟練辨識 y = ax² + bx + c 形式的二次函數（a≠0）。</t>
  </si>
  <si>
    <t>text</t>
  </si>
  <si>
    <t>分析學生答案：{user_answer}，正確答案：{correct_answer}。如果錯誤，提醒學生「二次」函數的 x 最高次方「必須」是 2 次。</t>
  </si>
  <si>
    <t>jh_quad_func_graph_ax2</t>
  </si>
  <si>
    <t>Graph (y=ax²)</t>
  </si>
  <si>
    <t>y=ax² 的圖形</t>
  </si>
  <si>
    <t>熟練描繪 y=ax² 的圖形，並判斷其頂點 (0,0)、對稱軸 (y軸) 與開口方向 (a&gt;0 上, a&lt;0 下)。</t>
  </si>
  <si>
    <t>handwriting</t>
  </si>
  <si>
    <t>分析學生答案（圖形）：{user_answer}，正確答案：{correct_answer}。如果錯誤，提醒學生 y=ax² 的頂點是 (0,0)。若 a &gt; 0 開口向上；若 a &lt; 0 開口向下。</t>
  </si>
  <si>
    <t>jh_quad_func_graph_ax2_k</t>
  </si>
  <si>
    <t>Graph (y=ax²+k)</t>
  </si>
  <si>
    <t>y=ax²+k 的圖形</t>
  </si>
  <si>
    <t>熟練描繪 y=ax²+k 的圖形（鉛直平移），並找出頂點 (0, k)。</t>
  </si>
  <si>
    <t>分析學生答案（圖形）：{user_answer}，正確答案：{correct_answer}。如果錯誤，提醒學生 y=ax²+k 是將 y=ax²「鉛直平移」k 單位，頂點移至 (0, k)。</t>
  </si>
  <si>
    <t>jh_quad_func_graph_a_x_h_2</t>
  </si>
  <si>
    <t>Graph (y=a(x-h)²)</t>
  </si>
  <si>
    <t>y=a(x-h)² 的圖形</t>
  </si>
  <si>
    <t>熟練描繪 y=a(x-h)² 的圖形（水平平移），並找出頂點 (h, 0)。</t>
  </si>
  <si>
    <t>分析學生答案（圖形）：{user_answer}，正確答案：{correct_answer}。如果錯誤，提醒學生 y=a(x-h)² 是將 y=ax²「水平平移」h 單位，頂點移至 (h, 0)。</t>
  </si>
  <si>
    <t>jh_quad_func_graph_a_x_h_2_k</t>
  </si>
  <si>
    <t>Graph (y=a(x-h)²+k)</t>
  </si>
  <si>
    <t>y=a(x-h)²+k 的圖形</t>
  </si>
  <si>
    <t>熟練描繪 y=a(x-h)²+k 的圖形（頂點式），並找出頂點 (h, k)。</t>
  </si>
  <si>
    <t>分析學生答案（圖形）：{user_answer}，正確答案：{correct_answer}。如果錯誤，提醒學生 y=a(x-h)²+k 的頂點是 (h, k)，對稱軸是 x=h。</t>
  </si>
  <si>
    <t>jh_quad_func_complete_square_simple</t>
  </si>
  <si>
    <t>Completing Square (Simple, a=1)</t>
  </si>
  <si>
    <t>配方法 (簡易 a=1)</t>
  </si>
  <si>
    <t>熟練將 y = x² + bx + c 配方為 y = (x-h)² + k 的形式。</t>
  </si>
  <si>
    <t>分析學生答案：{user_answer}，正確答案：{correct_answer}。如果錯誤，提醒學生配方步驟：加上「一次項係數一半的平方」，並在後面減掉。</t>
  </si>
  <si>
    <t>jh_quad_func_complete_square_general</t>
  </si>
  <si>
    <t>Completing Square (General, a≠1)</t>
  </si>
  <si>
    <t>配方法 (一般 a≠1)</t>
  </si>
  <si>
    <t>熟練將 y = ax² + bx + c 配方為 y = a(x-h)² + k 的形式。</t>
  </si>
  <si>
    <t>分析學生答案：{user_answer}，正確答案：{correct_answer}。如果錯誤，引導學生 1. 提出 a： y = a(x² + (b/a)x) + c。 2. 括號內配方。 3. 注意提出括號外的常數項。</t>
  </si>
  <si>
    <t>jh_quad_func_max_min_vertex</t>
  </si>
  <si>
    <t>Find Max/Min (Vertex)</t>
  </si>
  <si>
    <t>二次函數最大最小值 (頂點)</t>
  </si>
  <si>
    <t>熟練利用配方法找出 y = ax² + bx + c 的頂點，並判斷最大值或最小值。</t>
  </si>
  <si>
    <t>分析學生答案：{user_answer}，正確答案：{correct_answer}。如果錯誤，引導學生 1. 配方法找出頂點 (h, k)。 2. 若 a&gt;0 (開口向上)，在 x=h 有最小值 k。 3. 若 a&lt;0 (開口向下)，在 x=h 有最大值 k。</t>
  </si>
  <si>
    <t>jh_quad_func_axis_intercepts</t>
  </si>
  <si>
    <t>Find Axis Intercepts</t>
  </si>
  <si>
    <t>求圖形與兩軸交點</t>
  </si>
  <si>
    <t>熟練計算二次函數圖形與 y 軸的交點（令 x=0）及 x 軸的交點（令 y=0）。</t>
  </si>
  <si>
    <t>分析學生答案：{user_answer}，正確答案：{correct_answer}。如果錯誤，提醒學生「與 y 軸交點」：令 x=0 代入；「與 x 軸交點」：令 y=0，解一元二次方程式。</t>
  </si>
  <si>
    <t>jh_quad_func_discriminant_intercepts</t>
  </si>
  <si>
    <t>Discriminant &amp; Intercepts (D=b²-4ac)</t>
  </si>
  <si>
    <t>判別式 (D) 與 x 軸交點</t>
  </si>
  <si>
    <t>熟練應用判別式 D = b²-4ac 判斷圖形與 x 軸的交點個數。</t>
  </si>
  <si>
    <t>分析學生答案：{user_answer}，正確答案：{correct_answer}。如果錯誤，提醒學生 D &gt; 0 (兩交點)；D = 0 (相切，一交點)；D &lt; 0 (無交點)。</t>
  </si>
  <si>
    <t>jh_quad_func_word_problem</t>
  </si>
  <si>
    <t>Quadratic Function Word Problem</t>
  </si>
  <si>
    <t>二次函數應用問題</t>
  </si>
  <si>
    <t>熟練依題意列出二次函數，並利用配方法求極值解應用問題。</t>
  </si>
  <si>
    <t>分析學生答案：{user_answer}，正確答案：{correct_answer}。如果錯誤，引導學生 1. 依題意列出 y = f(x) 的二次函數。 2. 配方法找出頂點。 3. 依據開口方向回答最大值或最小值。</t>
  </si>
  <si>
    <t>jh_stats_box_plot_draw</t>
  </si>
  <si>
    <t>Draw Box Plot</t>
  </si>
  <si>
    <t>繪製盒狀圖</t>
  </si>
  <si>
    <t>統計</t>
  </si>
  <si>
    <t>熟練找出五個數值（Min, Q₁, Me, Q₃, Max）並繪製盒狀圖。</t>
  </si>
  <si>
    <t>分析學生答案（圖形）：{user_answer}，正確答案（圖形）：{correct_answer}。如果錯誤，提醒學生 1. 先排序。 2. 找出 Me (Q₂), Q₁, Q₃。 3. 畫出盒子（Q₁ 到 Q₃）與鬍鬚（Min, Max）。</t>
  </si>
  <si>
    <t>jh_stats_box_plot_read</t>
  </si>
  <si>
    <t>Read Box Plot</t>
  </si>
  <si>
    <t>判讀盒狀圖</t>
  </si>
  <si>
    <t>熟練判讀盒狀圖中的中位數、四分位距 (IQR = Q₃ - Q₁) 與資料分布情形。</t>
  </si>
  <si>
    <t>分析學生答案：{user_answer}，正確答案：{correct_answer}。如果錯誤，提醒學生「盒子」代表中間 50% 的資料，「盒子越短」代表資料越集中。</t>
  </si>
  <si>
    <t>jh_prob_def_classical</t>
  </si>
  <si>
    <t>Classical Probability Definition</t>
  </si>
  <si>
    <t>古典機率 (定義)</t>
  </si>
  <si>
    <t>機率</t>
  </si>
  <si>
    <t>熟練計算古典機率 P(A) = (A 事件發生的結果數) / (所有可能的結果總數)。</t>
  </si>
  <si>
    <t>分析學生答案：{user_answer}，正確答案：{correct_answer}。如果錯誤，提醒學生 P(A) = n(A) / n(S)，且 0 ≤ P(A) ≤ 1。</t>
  </si>
  <si>
    <t>jh_prob_list_outcomes_simple</t>
  </si>
  <si>
    <t>List Outcomes (Simple)</t>
  </si>
  <si>
    <t>列舉所有結果 (簡易)</t>
  </si>
  <si>
    <t>熟練列舉單一步驟試驗的所有可能結果 (n(S))（如擲骰子、抽球）。</t>
  </si>
  <si>
    <t>分析學生答案：{user_answer}，正確答案：{correct_answer}。如果錯誤，提醒學生「所有可能結果」必須「不重複、不遺漏」。</t>
  </si>
  <si>
    <t>jh_prob_list_outcomes_tree_diagram</t>
  </si>
  <si>
    <t>List Outcomes (Tree Diagram)</t>
  </si>
  <si>
    <t>列舉所有結果 (樹狀圖)</t>
  </si>
  <si>
    <t>熟練使用「樹狀圖」列舉多步驟試驗的所有可能結果 (n(S))。</t>
  </si>
  <si>
    <t>分析學生答案（圖形）：{user_answer}，正確答案（圖形）：{correct_answer}。如果錯誤，引導學生「分步驟」畫樹狀圖，並計算「末端」共有幾種結果。</t>
  </si>
  <si>
    <t>jh_prob_list_outcomes_table</t>
  </si>
  <si>
    <t>List Outcomes (Table)</t>
  </si>
  <si>
    <t>列舉所有結果 (表格法)</t>
  </si>
  <si>
    <t>熟練使用「表格法」列舉兩步驟試驗的所有可能結果 (n(S))（如擲兩骰子）。</t>
  </si>
  <si>
    <t>分析學生答案（圖形）：{user_answer}，正確答案（圖形）：{correct_answer}。如果錯誤，引導學生畫出 6x6 (或 NxM) 的表格，並檢查總格數。</t>
  </si>
  <si>
    <t>jh_prob_event_complementary</t>
  </si>
  <si>
    <t>Complementary Event</t>
  </si>
  <si>
    <t>餘事件機率</t>
  </si>
  <si>
    <t>熟練應用餘事件機率 P(A') = 1 - P(A)（例如：「至少一正面」 = 1 - 「全反面」）。</t>
  </si>
  <si>
    <t>分析學生答案：{user_answer}，正確答案：{correct_answer}。如果錯誤，提醒學生「至少...」的問題，通常用「全部機率 (1)」扣掉「完全沒有...」的機率比較快。</t>
  </si>
  <si>
    <t>jh_geo_3d_plane_def</t>
  </si>
  <si>
    <t>Plane Definition</t>
  </si>
  <si>
    <t>認識平面</t>
  </si>
  <si>
    <t>空間幾何</t>
  </si>
  <si>
    <t>認識空間中平面的意義（無限延伸）。</t>
  </si>
  <si>
    <t>分析學生答案：{user_answer}，正確答案：{correct_answer}。如果錯誤，提醒學生「平面」是無限延伸、平坦的面。</t>
  </si>
  <si>
    <t>jh_geo_3d_line_plane_relations_simple</t>
  </si>
  <si>
    <t>Line &amp; Plane Relations (Simple)</t>
  </si>
  <si>
    <t>線與面關係 (簡易)</t>
  </si>
  <si>
    <t>熟練辨識空間中「直線」與「平面」的關係（平行 / 相交一點 / 線在面上）。</t>
  </si>
  <si>
    <t>分析學生答案：{user_answer}，正確答案：{correct_answer}。如果錯誤，引導學生判斷直線 L 與平面 E 有「0 個」、「1 個」或「無限多個」交點。</t>
  </si>
  <si>
    <t>jh_geo_3d_plane_relations_simple</t>
  </si>
  <si>
    <t>Plane &amp; Plane Relations (Simple)</t>
  </si>
  <si>
    <t>兩平面關係 (簡易)</t>
  </si>
  <si>
    <t>熟練辨識空間中「兩平面」的關係（平行 / 相交一直線 / 重合）。</t>
  </si>
  <si>
    <t>分析學生答案：{user_answer}，正確答案：{correct_answer}。如果錯誤，引導學生判斷兩平面 E₁, E₂ 有「0 個」、「1 條線」或「無限多個」交點。</t>
  </si>
  <si>
    <t>jh_geo_3d_skew_lines_def</t>
  </si>
  <si>
    <t>Skew Lines Definition</t>
  </si>
  <si>
    <t>認識歪斜線</t>
  </si>
  <si>
    <t>熟練辨識空間中「歪斜」的兩直線（不相交且不平行）。</t>
  </si>
  <si>
    <t>分析學生答案：{user_answer}，正確答案：{correct_answer}。如果錯誤，提醒學生「歪斜」的條件是「不平行」且「不相交」（在不同平面上）。</t>
  </si>
  <si>
    <t>jh_geo_3d_prism_def</t>
  </si>
  <si>
    <t>Prism Definition (Prism, Cylinder)</t>
  </si>
  <si>
    <t>認識柱體 (角柱/圓柱)</t>
  </si>
  <si>
    <t>熟練辨識角柱與圓柱，並計算其頂點、邊、面的數量。</t>
  </si>
  <si>
    <t>分析學生答案：{user_answer}，正確答案：{correct_answer}。如果錯誤，提醒學生「n 角柱」有 (n+2) 個面、(3n) 條邊、(2n) 個頂點。</t>
  </si>
  <si>
    <t>jh_geo_3d_pyramid_def</t>
  </si>
  <si>
    <t>Pyramid Definition (Pyramid, Cone)</t>
  </si>
  <si>
    <t>認識錐體 (角錐/圓錐)</t>
  </si>
  <si>
    <t>熟練辨識角錐與圓錐，並計算其頂點、邊、面的數量。</t>
  </si>
  <si>
    <t>分析學生答案：{user_answer}，正確答案：{correct_answer}。如果錯誤，提醒學生「n 角錐」有 (n+1) 個面、(2n) 條邊、(n+1) 個頂點。</t>
  </si>
  <si>
    <t>jh_geo_3d_surface_area_prism</t>
  </si>
  <si>
    <t>Prism Surface Area</t>
  </si>
  <si>
    <t>柱體表面積</t>
  </si>
  <si>
    <t>熟練計算柱體（角柱、圓柱）的表面積（底面積×2 + 側面積）。</t>
  </si>
  <si>
    <t>分析學生答案：{user_answer}，正確答案：{correct_answer}。如果錯誤，提醒學生「表面積」= (上底 + 下底) + (側面面積)。圓柱側面積 = (底面周長) × 高。</t>
  </si>
  <si>
    <t>jh_geo_3d_surface_area_pyramid</t>
  </si>
  <si>
    <t>Pyramid Surface Area</t>
  </si>
  <si>
    <t>錐體表面積</t>
  </si>
  <si>
    <t>熟練計算錐體（角錐、圓錐）的表面積（底面積 + 側面面積）。</t>
  </si>
  <si>
    <t>分析學生答案：{user_answer}，正確答案：{correct_answer}。如果錯誤，提醒學生「表面積」= (底面積) + (所有側面三角形/扇形面積)。</t>
  </si>
  <si>
    <t>jh_geo_3d_volume_prism</t>
  </si>
  <si>
    <t>Prism Volume</t>
  </si>
  <si>
    <t>柱體體積</t>
  </si>
  <si>
    <t>熟練計算柱體（角柱、圓柱）的體積 V = 底面積 × 高。</t>
  </si>
  <si>
    <t>分析學生答案：{user_answer}，正確答案：{correct_answer}。如果錯誤，提醒學生「柱體體積」V = (底面積) × (高)。</t>
  </si>
  <si>
    <t>jh_geo_3d_volume_pyramid</t>
  </si>
  <si>
    <t>Pyramid Volume</t>
  </si>
  <si>
    <t>錐體體積</t>
  </si>
  <si>
    <t>熟練計算錐體（角錐、圓錐）的體積 V = 1/3 × 底面積 × 高。</t>
  </si>
  <si>
    <t>分析學生答案：{user_answer}，正確答案：{correct_answer}。如果錯誤，提醒學生「錐體體積」V = (1/3) × (底面積) × (高)。</t>
  </si>
  <si>
    <r>
      <t>[</t>
    </r>
    <r>
      <rPr>
        <sz val="10"/>
        <color rgb="FF000000"/>
        <rFont val="Arial"/>
        <family val="3"/>
        <charset val="136"/>
        <scheme val="minor"/>
      </rPr>
      <t>任務</t>
    </r>
    <r>
      <rPr>
        <sz val="10"/>
        <color rgb="FF000000"/>
        <rFont val="Arial"/>
        <family val="2"/>
        <scheme val="minor"/>
      </rPr>
      <t xml:space="preserve">]
</t>
    </r>
    <r>
      <rPr>
        <sz val="10"/>
        <color rgb="FF000000"/>
        <rFont val="Arial"/>
        <family val="3"/>
        <charset val="136"/>
        <scheme val="minor"/>
      </rPr>
      <t>你是功文式數學助教。你的語氣必須</t>
    </r>
    <r>
      <rPr>
        <sz val="10"/>
        <color rgb="FF000000"/>
        <rFont val="Arial"/>
        <family val="2"/>
        <scheme val="minor"/>
      </rPr>
      <t xml:space="preserve"> **</t>
    </r>
    <r>
      <rPr>
        <sz val="10"/>
        <color rgb="FF000000"/>
        <rFont val="Arial"/>
        <family val="3"/>
        <charset val="136"/>
        <scheme val="minor"/>
      </rPr>
      <t>簡潔、中性、專業</t>
    </r>
    <r>
      <rPr>
        <sz val="10"/>
        <color rgb="FF000000"/>
        <rFont val="Arial"/>
        <family val="2"/>
        <scheme val="minor"/>
      </rPr>
      <t>**</t>
    </r>
    <r>
      <rPr>
        <sz val="10"/>
        <color rgb="FF000000"/>
        <rFont val="Arial"/>
        <family val="3"/>
        <charset val="136"/>
        <scheme val="minor"/>
      </rPr>
      <t xml:space="preserve">。
</t>
    </r>
    <r>
      <rPr>
        <sz val="10"/>
        <color rgb="FF000000"/>
        <rFont val="Arial"/>
        <family val="2"/>
        <scheme val="minor"/>
      </rPr>
      <t>**</t>
    </r>
    <r>
      <rPr>
        <sz val="10"/>
        <color rgb="FF000000"/>
        <rFont val="Arial"/>
        <family val="3"/>
        <charset val="136"/>
        <scheme val="minor"/>
      </rPr>
      <t>嚴格禁止</t>
    </r>
    <r>
      <rPr>
        <sz val="10"/>
        <color rgb="FF000000"/>
        <rFont val="Arial"/>
        <family val="2"/>
        <scheme val="minor"/>
      </rPr>
      <t>**</t>
    </r>
    <r>
      <rPr>
        <sz val="10"/>
        <color rgb="FF000000"/>
        <rFont val="Arial"/>
        <family val="3"/>
        <charset val="136"/>
        <scheme val="minor"/>
      </rPr>
      <t>：聊天（如</t>
    </r>
    <r>
      <rPr>
        <sz val="10"/>
        <color rgb="FF000000"/>
        <rFont val="Arial"/>
        <family val="2"/>
        <scheme val="minor"/>
      </rPr>
      <t xml:space="preserve"> "</t>
    </r>
    <r>
      <rPr>
        <sz val="10"/>
        <color rgb="FF000000"/>
        <rFont val="Arial"/>
        <family val="3"/>
        <charset val="136"/>
        <scheme val="minor"/>
      </rPr>
      <t>哈囉</t>
    </r>
    <r>
      <rPr>
        <sz val="10"/>
        <color rgb="FF000000"/>
        <rFont val="Arial"/>
        <family val="2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>）、表情符號（</t>
    </r>
    <r>
      <rPr>
        <sz val="10"/>
        <color rgb="FF000000"/>
        <rFont val="Arial"/>
        <family val="2"/>
        <scheme val="minor"/>
      </rPr>
      <t>emoji</t>
    </r>
    <r>
      <rPr>
        <sz val="10"/>
        <color rgb="FF000000"/>
        <rFont val="Arial"/>
        <family val="3"/>
        <charset val="136"/>
        <scheme val="minor"/>
      </rPr>
      <t>）、過度讚美（如</t>
    </r>
    <r>
      <rPr>
        <sz val="10"/>
        <color rgb="FF000000"/>
        <rFont val="Arial"/>
        <family val="2"/>
        <scheme val="minor"/>
      </rPr>
      <t xml:space="preserve"> "</t>
    </r>
    <r>
      <rPr>
        <sz val="10"/>
        <color rgb="FF000000"/>
        <rFont val="Arial"/>
        <family val="3"/>
        <charset val="136"/>
        <scheme val="minor"/>
      </rPr>
      <t>你很棒</t>
    </r>
    <r>
      <rPr>
        <sz val="10"/>
        <color rgb="FF000000"/>
        <rFont val="Arial"/>
        <family val="2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>、</t>
    </r>
    <r>
      <rPr>
        <sz val="10"/>
        <color rgb="FF000000"/>
        <rFont val="Arial"/>
        <family val="2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>哇</t>
    </r>
    <r>
      <rPr>
        <sz val="10"/>
        <color rgb="FF000000"/>
        <rFont val="Arial"/>
        <family val="2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 xml:space="preserve">）或不必要的鼓勵性廢話。
</t>
    </r>
    <r>
      <rPr>
        <sz val="10"/>
        <color rgb="FF000000"/>
        <rFont val="Arial"/>
        <family val="2"/>
        <scheme val="minor"/>
      </rPr>
      <t>[</t>
    </r>
    <r>
      <rPr>
        <sz val="10"/>
        <color rgb="FF000000"/>
        <rFont val="Arial"/>
        <family val="3"/>
        <charset val="136"/>
        <scheme val="minor"/>
      </rPr>
      <t>分析</t>
    </r>
    <r>
      <rPr>
        <sz val="10"/>
        <color rgb="FF000000"/>
        <rFont val="Arial"/>
        <family val="2"/>
        <scheme val="minor"/>
      </rPr>
      <t xml:space="preserve">]
</t>
    </r>
    <r>
      <rPr>
        <sz val="10"/>
        <color rgb="FF000000"/>
        <rFont val="Arial"/>
        <family val="3"/>
        <charset val="136"/>
        <scheme val="minor"/>
      </rPr>
      <t>學生答案：</t>
    </r>
    <r>
      <rPr>
        <sz val="10"/>
        <color rgb="FF000000"/>
        <rFont val="Arial"/>
        <family val="2"/>
        <scheme val="minor"/>
      </rPr>
      <t xml:space="preserve">{user_answer}
</t>
    </r>
    <r>
      <rPr>
        <sz val="10"/>
        <color rgb="FF000000"/>
        <rFont val="Arial"/>
        <family val="3"/>
        <charset val="136"/>
        <scheme val="minor"/>
      </rPr>
      <t>正確答案：</t>
    </r>
    <r>
      <rPr>
        <sz val="10"/>
        <color rgb="FF000000"/>
        <rFont val="Arial"/>
        <family val="2"/>
        <scheme val="minor"/>
      </rPr>
      <t>{correct_answer}
[</t>
    </r>
    <r>
      <rPr>
        <sz val="10"/>
        <color rgb="FF000000"/>
        <rFont val="Arial"/>
        <family val="3"/>
        <charset val="136"/>
        <scheme val="minor"/>
      </rPr>
      <t>指導</t>
    </r>
    <r>
      <rPr>
        <sz val="10"/>
        <color rgb="FF000000"/>
        <rFont val="Arial"/>
        <family val="2"/>
        <scheme val="minor"/>
      </rPr>
      <t>]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</si>
</sst>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9"/>
  <sheetViews>
    <sheetView tabSelected="1" workbookViewId="0">
      <selection activeCell="L3" sqref="L3:L6"/>
    </sheetView>
  </sheetViews>
  <sheetFormatPr defaultColWidth="12.61328125" defaultRowHeight="15.75" customHeight="1" x14ac:dyDescent="0.3"/>
  <sheetData>
    <row r="1" spans="1:1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ht="15.7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</v>
      </c>
      <c r="I2" s="1" t="b">
        <v>1</v>
      </c>
      <c r="J2" s="1">
        <v>5880</v>
      </c>
      <c r="L2" t="str">
        <f t="shared" ref="L2" si="0">RIGHT(G2,LEN(G2)-43)</f>
        <v>如果錯誤，提醒學生「二次」函數的 x 最高次方「必須」是 2 次。</v>
      </c>
      <c r="M2" s="2" t="s">
        <v>156</v>
      </c>
      <c r="N2" t="str">
        <f t="shared" ref="N2" si="1">M2&amp;L2</f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[指導]如果錯誤，提醒學生「二次」函數的 x 最高次方「必須」是 2 次。</v>
      </c>
    </row>
    <row r="3" spans="1:14" ht="15.75" customHeight="1" x14ac:dyDescent="0.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21</v>
      </c>
      <c r="G3" s="1" t="s">
        <v>22</v>
      </c>
      <c r="H3" s="1">
        <v>5</v>
      </c>
      <c r="I3" s="1" t="b">
        <v>1</v>
      </c>
      <c r="J3" s="1">
        <v>5890</v>
      </c>
      <c r="L3" t="str">
        <f>RIGHT(G3,LEN(G3)-47)</f>
        <v>如果錯誤，提醒學生 y=ax² 的頂點是 (0,0)。若 a &gt; 0 開口向上；若 a &lt; 0 開口向下。</v>
      </c>
      <c r="M3" s="2" t="s">
        <v>156</v>
      </c>
      <c r="N3" t="str">
        <f t="shared" ref="N3:N29" si="2">M3&amp;L3</f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y=ax² 的頂點是 (0,0)。若 a &gt; 0 開口向上；若 a &lt; 0 開口向下。</v>
      </c>
    </row>
    <row r="4" spans="1:14" ht="15.75" customHeight="1" x14ac:dyDescent="0.3">
      <c r="A4" s="1" t="s">
        <v>23</v>
      </c>
      <c r="B4" s="1" t="s">
        <v>24</v>
      </c>
      <c r="C4" s="1" t="s">
        <v>25</v>
      </c>
      <c r="D4" s="1" t="s">
        <v>13</v>
      </c>
      <c r="E4" s="1" t="s">
        <v>26</v>
      </c>
      <c r="F4" s="1" t="s">
        <v>21</v>
      </c>
      <c r="G4" s="1" t="s">
        <v>27</v>
      </c>
      <c r="H4" s="1">
        <v>5</v>
      </c>
      <c r="I4" s="1" t="b">
        <v>1</v>
      </c>
      <c r="J4" s="1">
        <v>5900</v>
      </c>
      <c r="L4" t="str">
        <f t="shared" ref="L4:L6" si="3">RIGHT(G4,LEN(G4)-47)</f>
        <v>如果錯誤，提醒學生 y=ax²+k 是將 y=ax²「鉛直平移」k 單位，頂點移至 (0, k)。</v>
      </c>
      <c r="M4" s="2" t="s">
        <v>156</v>
      </c>
      <c r="N4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y=ax²+k 是將 y=ax²「鉛直平移」k 單位，頂點移至 (0, k)。</v>
      </c>
    </row>
    <row r="5" spans="1:14" ht="15.75" customHeight="1" x14ac:dyDescent="0.3">
      <c r="A5" s="1" t="s">
        <v>28</v>
      </c>
      <c r="B5" s="1" t="s">
        <v>29</v>
      </c>
      <c r="C5" s="1" t="s">
        <v>30</v>
      </c>
      <c r="D5" s="1" t="s">
        <v>13</v>
      </c>
      <c r="E5" s="1" t="s">
        <v>31</v>
      </c>
      <c r="F5" s="1" t="s">
        <v>21</v>
      </c>
      <c r="G5" s="1" t="s">
        <v>32</v>
      </c>
      <c r="H5" s="1">
        <v>5</v>
      </c>
      <c r="I5" s="1" t="b">
        <v>1</v>
      </c>
      <c r="J5" s="1">
        <v>5910</v>
      </c>
      <c r="L5" t="str">
        <f t="shared" si="3"/>
        <v>如果錯誤，提醒學生 y=a(x-h)² 是將 y=ax²「水平平移」h 單位，頂點移至 (h, 0)。</v>
      </c>
      <c r="M5" s="2" t="s">
        <v>156</v>
      </c>
      <c r="N5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y=a(x-h)² 是將 y=ax²「水平平移」h 單位，頂點移至 (h, 0)。</v>
      </c>
    </row>
    <row r="6" spans="1:14" ht="15.75" customHeight="1" x14ac:dyDescent="0.3">
      <c r="A6" s="1" t="s">
        <v>33</v>
      </c>
      <c r="B6" s="1" t="s">
        <v>34</v>
      </c>
      <c r="C6" s="1" t="s">
        <v>35</v>
      </c>
      <c r="D6" s="1" t="s">
        <v>13</v>
      </c>
      <c r="E6" s="1" t="s">
        <v>36</v>
      </c>
      <c r="F6" s="1" t="s">
        <v>21</v>
      </c>
      <c r="G6" s="1" t="s">
        <v>37</v>
      </c>
      <c r="H6" s="1">
        <v>5</v>
      </c>
      <c r="I6" s="1" t="b">
        <v>1</v>
      </c>
      <c r="J6" s="1">
        <v>5920</v>
      </c>
      <c r="L6" t="str">
        <f t="shared" si="3"/>
        <v>如果錯誤，提醒學生 y=a(x-h)²+k 的頂點是 (h, k)，對稱軸是 x=h。</v>
      </c>
      <c r="M6" s="2" t="s">
        <v>156</v>
      </c>
      <c r="N6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y=a(x-h)²+k 的頂點是 (h, k)，對稱軸是 x=h。</v>
      </c>
    </row>
    <row r="7" spans="1:14" ht="15.75" customHeight="1" x14ac:dyDescent="0.3">
      <c r="A7" s="1" t="s">
        <v>38</v>
      </c>
      <c r="B7" s="1" t="s">
        <v>39</v>
      </c>
      <c r="C7" s="1" t="s">
        <v>40</v>
      </c>
      <c r="D7" s="1" t="s">
        <v>13</v>
      </c>
      <c r="E7" s="1" t="s">
        <v>41</v>
      </c>
      <c r="F7" s="1" t="s">
        <v>15</v>
      </c>
      <c r="G7" s="1" t="s">
        <v>42</v>
      </c>
      <c r="H7" s="1">
        <v>5</v>
      </c>
      <c r="I7" s="1" t="b">
        <v>1</v>
      </c>
      <c r="J7" s="1">
        <v>5930</v>
      </c>
      <c r="L7" t="str">
        <f t="shared" ref="L3:L29" si="4">RIGHT(G7,LEN(G7)-43)</f>
        <v>如果錯誤，提醒學生配方步驟：加上「一次項係數一半的平方」，並在後面減掉。</v>
      </c>
      <c r="M7" s="2" t="s">
        <v>156</v>
      </c>
      <c r="N7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[指導]如果錯誤，提醒學生配方步驟：加上「一次項係數一半的平方」，並在後面減掉。</v>
      </c>
    </row>
    <row r="8" spans="1:14" ht="15.75" customHeight="1" x14ac:dyDescent="0.3">
      <c r="A8" s="1" t="s">
        <v>43</v>
      </c>
      <c r="B8" s="1" t="s">
        <v>44</v>
      </c>
      <c r="C8" s="1" t="s">
        <v>45</v>
      </c>
      <c r="D8" s="1" t="s">
        <v>13</v>
      </c>
      <c r="E8" s="1" t="s">
        <v>46</v>
      </c>
      <c r="F8" s="1" t="s">
        <v>15</v>
      </c>
      <c r="G8" s="1" t="s">
        <v>47</v>
      </c>
      <c r="H8" s="1">
        <v>5</v>
      </c>
      <c r="I8" s="1" t="b">
        <v>1</v>
      </c>
      <c r="J8" s="1">
        <v>5940</v>
      </c>
      <c r="L8" t="str">
        <f t="shared" si="4"/>
        <v>如果錯誤，引導學生 1. 提出 a： y = a(x² + (b/a)x) + c。 2. 括號內配方。 3. 注意提出括號外的常數項。</v>
      </c>
      <c r="M8" s="2" t="s">
        <v>156</v>
      </c>
      <c r="N8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提出 a： y = a(x² + (b/a)x) + c。 2. 括號內配方。 3. 注意提出括號外的常數項。</v>
      </c>
    </row>
    <row r="9" spans="1:14" ht="15.75" customHeight="1" x14ac:dyDescent="0.3">
      <c r="A9" s="1" t="s">
        <v>48</v>
      </c>
      <c r="B9" s="1" t="s">
        <v>49</v>
      </c>
      <c r="C9" s="1" t="s">
        <v>50</v>
      </c>
      <c r="D9" s="1" t="s">
        <v>13</v>
      </c>
      <c r="E9" s="1" t="s">
        <v>51</v>
      </c>
      <c r="F9" s="1" t="s">
        <v>15</v>
      </c>
      <c r="G9" s="1" t="s">
        <v>52</v>
      </c>
      <c r="H9" s="1">
        <v>5</v>
      </c>
      <c r="I9" s="1" t="b">
        <v>1</v>
      </c>
      <c r="J9" s="1">
        <v>5950</v>
      </c>
      <c r="L9" t="str">
        <f t="shared" si="4"/>
        <v>如果錯誤，引導學生 1. 配方法找出頂點 (h, k)。 2. 若 a&gt;0 (開口向上)，在 x=h 有最小值 k。 3. 若 a&lt;0 (開口向下)，在 x=h 有最大值 k。</v>
      </c>
      <c r="M9" s="2" t="s">
        <v>156</v>
      </c>
      <c r="N9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配方法找出頂點 (h, k)。 2. 若 a&gt;0 (開口向上)，在 x=h 有最小值 k。 3. 若 a&lt;0 (開口向下)，在 x=h 有最大值 k。</v>
      </c>
    </row>
    <row r="10" spans="1:14" ht="15.75" customHeight="1" x14ac:dyDescent="0.3">
      <c r="A10" s="1" t="s">
        <v>53</v>
      </c>
      <c r="B10" s="1" t="s">
        <v>54</v>
      </c>
      <c r="C10" s="1" t="s">
        <v>55</v>
      </c>
      <c r="D10" s="1" t="s">
        <v>13</v>
      </c>
      <c r="E10" s="1" t="s">
        <v>56</v>
      </c>
      <c r="F10" s="1" t="s">
        <v>15</v>
      </c>
      <c r="G10" s="1" t="s">
        <v>57</v>
      </c>
      <c r="H10" s="1">
        <v>5</v>
      </c>
      <c r="I10" s="1" t="b">
        <v>1</v>
      </c>
      <c r="J10" s="1">
        <v>5960</v>
      </c>
      <c r="L10" t="str">
        <f t="shared" si="4"/>
        <v>如果錯誤，提醒學生「與 y 軸交點」：令 x=0 代入；「與 x 軸交點」：令 y=0，解一元二次方程式。</v>
      </c>
      <c r="M10" s="2" t="s">
        <v>156</v>
      </c>
      <c r="N10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[指導]如果錯誤，提醒學生「與 y 軸交點」：令 x=0 代入；「與 x 軸交點」：令 y=0，解一元二次方程式。</v>
      </c>
    </row>
    <row r="11" spans="1:14" ht="15.75" customHeight="1" x14ac:dyDescent="0.3">
      <c r="A11" s="1" t="s">
        <v>58</v>
      </c>
      <c r="B11" s="1" t="s">
        <v>59</v>
      </c>
      <c r="C11" s="1" t="s">
        <v>60</v>
      </c>
      <c r="D11" s="1" t="s">
        <v>13</v>
      </c>
      <c r="E11" s="1" t="s">
        <v>61</v>
      </c>
      <c r="F11" s="1" t="s">
        <v>15</v>
      </c>
      <c r="G11" s="1" t="s">
        <v>62</v>
      </c>
      <c r="H11" s="1">
        <v>5</v>
      </c>
      <c r="I11" s="1" t="b">
        <v>1</v>
      </c>
      <c r="J11" s="1">
        <v>5970</v>
      </c>
      <c r="L11" t="str">
        <f t="shared" si="4"/>
        <v>如果錯誤，提醒學生 D &gt; 0 (兩交點)；D = 0 (相切，一交點)；D &lt; 0 (無交點)。</v>
      </c>
      <c r="M11" s="2" t="s">
        <v>156</v>
      </c>
      <c r="N11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 &gt; 0 (兩交點)；D = 0 (相切，一交點)；D &lt; 0 (無交點)。</v>
      </c>
    </row>
    <row r="12" spans="1:14" ht="15.75" customHeight="1" x14ac:dyDescent="0.3">
      <c r="A12" s="1" t="s">
        <v>63</v>
      </c>
      <c r="B12" s="1" t="s">
        <v>64</v>
      </c>
      <c r="C12" s="1" t="s">
        <v>65</v>
      </c>
      <c r="D12" s="1" t="s">
        <v>13</v>
      </c>
      <c r="E12" s="1" t="s">
        <v>66</v>
      </c>
      <c r="F12" s="1" t="s">
        <v>15</v>
      </c>
      <c r="G12" s="1" t="s">
        <v>67</v>
      </c>
      <c r="H12" s="1">
        <v>5</v>
      </c>
      <c r="I12" s="1" t="b">
        <v>1</v>
      </c>
      <c r="J12" s="1">
        <v>5980</v>
      </c>
      <c r="L12" t="str">
        <f t="shared" si="4"/>
        <v>如果錯誤，引導學生 1. 依題意列出 y = f(x) 的二次函數。 2. 配方法找出頂點。 3. 依據開口方向回答最大值或最小值。</v>
      </c>
      <c r="M12" s="2" t="s">
        <v>156</v>
      </c>
      <c r="N12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依題意列出 y = f(x) 的二次函數。 2. 配方法找出頂點。 3. 依據開口方向回答最大值或最小值。</v>
      </c>
    </row>
    <row r="13" spans="1:14" ht="15.75" customHeight="1" x14ac:dyDescent="0.3">
      <c r="A13" s="1" t="s">
        <v>68</v>
      </c>
      <c r="B13" s="1" t="s">
        <v>69</v>
      </c>
      <c r="C13" s="1" t="s">
        <v>70</v>
      </c>
      <c r="D13" s="1" t="s">
        <v>71</v>
      </c>
      <c r="E13" s="1" t="s">
        <v>72</v>
      </c>
      <c r="F13" s="1" t="s">
        <v>21</v>
      </c>
      <c r="G13" s="1" t="s">
        <v>73</v>
      </c>
      <c r="H13" s="1">
        <v>5</v>
      </c>
      <c r="I13" s="1" t="b">
        <v>1</v>
      </c>
      <c r="J13" s="1">
        <v>5990</v>
      </c>
      <c r="L13" t="str">
        <f>RIGHT(G13,LEN(G13)-51)</f>
        <v>如果錯誤，提醒學生 1. 先排序。 2. 找出 Me (Q₂), Q₁, Q₃。 3. 畫出盒子（Q₁ 到 Q₃）與鬍鬚（Min, Max）。</v>
      </c>
      <c r="M13" s="2" t="s">
        <v>156</v>
      </c>
      <c r="N13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1. 先排序。 2. 找出 Me (Q₂), Q₁, Q₃。 3. 畫出盒子（Q₁ 到 Q₃）與鬍鬚（Min, Max）。</v>
      </c>
    </row>
    <row r="14" spans="1:14" ht="15.75" customHeight="1" x14ac:dyDescent="0.3">
      <c r="A14" s="1" t="s">
        <v>74</v>
      </c>
      <c r="B14" s="1" t="s">
        <v>75</v>
      </c>
      <c r="C14" s="1" t="s">
        <v>76</v>
      </c>
      <c r="D14" s="1" t="s">
        <v>71</v>
      </c>
      <c r="E14" s="1" t="s">
        <v>77</v>
      </c>
      <c r="F14" s="1" t="s">
        <v>15</v>
      </c>
      <c r="G14" s="1" t="s">
        <v>78</v>
      </c>
      <c r="H14" s="1">
        <v>5</v>
      </c>
      <c r="I14" s="1" t="b">
        <v>1</v>
      </c>
      <c r="J14" s="1">
        <v>6000</v>
      </c>
      <c r="L14" t="str">
        <f t="shared" si="4"/>
        <v>如果錯誤，提醒學生「盒子」代表中間 50% 的資料，「盒子越短」代表資料越集中。</v>
      </c>
      <c r="M14" s="2" t="s">
        <v>156</v>
      </c>
      <c r="N14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[指導]如果錯誤，提醒學生「盒子」代表中間 50% 的資料，「盒子越短」代表資料越集中。</v>
      </c>
    </row>
    <row r="15" spans="1:14" ht="15.75" customHeight="1" x14ac:dyDescent="0.3">
      <c r="A15" s="1" t="s">
        <v>79</v>
      </c>
      <c r="B15" s="1" t="s">
        <v>80</v>
      </c>
      <c r="C15" s="1" t="s">
        <v>81</v>
      </c>
      <c r="D15" s="1" t="s">
        <v>82</v>
      </c>
      <c r="E15" s="1" t="s">
        <v>83</v>
      </c>
      <c r="F15" s="1" t="s">
        <v>15</v>
      </c>
      <c r="G15" s="1" t="s">
        <v>84</v>
      </c>
      <c r="H15" s="1">
        <v>5</v>
      </c>
      <c r="I15" s="1" t="b">
        <v>1</v>
      </c>
      <c r="J15" s="1">
        <v>6010</v>
      </c>
      <c r="L15" t="str">
        <f t="shared" si="4"/>
        <v>如果錯誤，提醒學生 P(A) = n(A) / n(S)，且 0 ≤ P(A) ≤ 1。</v>
      </c>
      <c r="M15" s="2" t="s">
        <v>156</v>
      </c>
      <c r="N15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P(A) = n(A) / n(S)，且 0 ≤ P(A) ≤ 1。</v>
      </c>
    </row>
    <row r="16" spans="1:14" ht="15.75" customHeight="1" x14ac:dyDescent="0.3">
      <c r="A16" s="1" t="s">
        <v>85</v>
      </c>
      <c r="B16" s="1" t="s">
        <v>86</v>
      </c>
      <c r="C16" s="1" t="s">
        <v>87</v>
      </c>
      <c r="D16" s="1" t="s">
        <v>82</v>
      </c>
      <c r="E16" s="1" t="s">
        <v>88</v>
      </c>
      <c r="F16" s="1" t="s">
        <v>15</v>
      </c>
      <c r="G16" s="1" t="s">
        <v>89</v>
      </c>
      <c r="H16" s="1">
        <v>5</v>
      </c>
      <c r="I16" s="1" t="b">
        <v>1</v>
      </c>
      <c r="J16" s="1">
        <v>6020</v>
      </c>
      <c r="L16" t="str">
        <f t="shared" si="4"/>
        <v>如果錯誤，提醒學生「所有可能結果」必須「不重複、不遺漏」。</v>
      </c>
      <c r="M16" s="2" t="s">
        <v>156</v>
      </c>
      <c r="N16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[指導]如果錯誤，提醒學生「所有可能結果」必須「不重複、不遺漏」。</v>
      </c>
    </row>
    <row r="17" spans="1:14" ht="15.75" customHeight="1" x14ac:dyDescent="0.3">
      <c r="A17" s="1" t="s">
        <v>90</v>
      </c>
      <c r="B17" s="1" t="s">
        <v>91</v>
      </c>
      <c r="C17" s="1" t="s">
        <v>92</v>
      </c>
      <c r="D17" s="1" t="s">
        <v>82</v>
      </c>
      <c r="E17" s="1" t="s">
        <v>93</v>
      </c>
      <c r="F17" s="1" t="s">
        <v>21</v>
      </c>
      <c r="G17" s="1" t="s">
        <v>94</v>
      </c>
      <c r="H17" s="1">
        <v>5</v>
      </c>
      <c r="I17" s="1" t="b">
        <v>1</v>
      </c>
      <c r="J17" s="1">
        <v>6030</v>
      </c>
      <c r="L17" t="str">
        <f>RIGHT(G17,LEN(G17)-51)</f>
        <v>如果錯誤，引導學生「分步驟」畫樹狀圖，並計算「末端」共有幾種結果。</v>
      </c>
      <c r="M17" s="2" t="s">
        <v>156</v>
      </c>
      <c r="N17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[指導]如果錯誤，引導學生「分步驟」畫樹狀圖，並計算「末端」共有幾種結果。</v>
      </c>
    </row>
    <row r="18" spans="1:14" ht="15.75" customHeight="1" x14ac:dyDescent="0.3">
      <c r="A18" s="1" t="s">
        <v>95</v>
      </c>
      <c r="B18" s="1" t="s">
        <v>96</v>
      </c>
      <c r="C18" s="1" t="s">
        <v>97</v>
      </c>
      <c r="D18" s="1" t="s">
        <v>82</v>
      </c>
      <c r="E18" s="1" t="s">
        <v>98</v>
      </c>
      <c r="F18" s="1" t="s">
        <v>21</v>
      </c>
      <c r="G18" s="1" t="s">
        <v>99</v>
      </c>
      <c r="H18" s="1">
        <v>5</v>
      </c>
      <c r="I18" s="1" t="b">
        <v>1</v>
      </c>
      <c r="J18" s="1">
        <v>6040</v>
      </c>
      <c r="L18" t="str">
        <f>RIGHT(G18,LEN(G18)-51)</f>
        <v>如果錯誤，引導學生畫出 6x6 (或 NxM) 的表格，並檢查總格數。</v>
      </c>
      <c r="M18" s="2" t="s">
        <v>156</v>
      </c>
      <c r="N18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[指導]如果錯誤，引導學生畫出 6x6 (或 NxM) 的表格，並檢查總格數。</v>
      </c>
    </row>
    <row r="19" spans="1:14" ht="15.75" customHeight="1" x14ac:dyDescent="0.3">
      <c r="A19" s="1" t="s">
        <v>100</v>
      </c>
      <c r="B19" s="1" t="s">
        <v>101</v>
      </c>
      <c r="C19" s="1" t="s">
        <v>102</v>
      </c>
      <c r="D19" s="1" t="s">
        <v>82</v>
      </c>
      <c r="E19" s="1" t="s">
        <v>103</v>
      </c>
      <c r="F19" s="1" t="s">
        <v>15</v>
      </c>
      <c r="G19" s="1" t="s">
        <v>104</v>
      </c>
      <c r="H19" s="1">
        <v>5</v>
      </c>
      <c r="I19" s="1" t="b">
        <v>1</v>
      </c>
      <c r="J19" s="1">
        <v>6050</v>
      </c>
      <c r="L19" t="str">
        <f t="shared" si="4"/>
        <v>如果錯誤，提醒學生「至少...」的問題，通常用「全部機率 (1)」扣掉「完全沒有...」的機率比較快。</v>
      </c>
      <c r="M19" s="2" t="s">
        <v>156</v>
      </c>
      <c r="N19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[指導]如果錯誤，提醒學生「至少...」的問題，通常用「全部機率 (1)」扣掉「完全沒有...」的機率比較快。</v>
      </c>
    </row>
    <row r="20" spans="1:14" ht="15.75" customHeight="1" x14ac:dyDescent="0.3">
      <c r="A20" s="1" t="s">
        <v>105</v>
      </c>
      <c r="B20" s="1" t="s">
        <v>106</v>
      </c>
      <c r="C20" s="1" t="s">
        <v>107</v>
      </c>
      <c r="D20" s="1" t="s">
        <v>108</v>
      </c>
      <c r="E20" s="1" t="s">
        <v>109</v>
      </c>
      <c r="F20" s="1" t="s">
        <v>15</v>
      </c>
      <c r="G20" s="1" t="s">
        <v>110</v>
      </c>
      <c r="H20" s="1">
        <v>5</v>
      </c>
      <c r="I20" s="1" t="b">
        <v>1</v>
      </c>
      <c r="J20" s="1">
        <v>6060</v>
      </c>
      <c r="L20" t="str">
        <f t="shared" si="4"/>
        <v>如果錯誤，提醒學生「平面」是無限延伸、平坦的面。</v>
      </c>
      <c r="M20" s="2" t="s">
        <v>156</v>
      </c>
      <c r="N20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[指導]如果錯誤，提醒學生「平面」是無限延伸、平坦的面。</v>
      </c>
    </row>
    <row r="21" spans="1:14" ht="15.75" customHeight="1" x14ac:dyDescent="0.3">
      <c r="A21" s="1" t="s">
        <v>111</v>
      </c>
      <c r="B21" s="1" t="s">
        <v>112</v>
      </c>
      <c r="C21" s="1" t="s">
        <v>113</v>
      </c>
      <c r="D21" s="1" t="s">
        <v>108</v>
      </c>
      <c r="E21" s="1" t="s">
        <v>114</v>
      </c>
      <c r="F21" s="1" t="s">
        <v>15</v>
      </c>
      <c r="G21" s="1" t="s">
        <v>115</v>
      </c>
      <c r="H21" s="1">
        <v>5</v>
      </c>
      <c r="I21" s="1" t="b">
        <v>1</v>
      </c>
      <c r="J21" s="1">
        <v>6070</v>
      </c>
      <c r="L21" t="str">
        <f t="shared" si="4"/>
        <v>如果錯誤，引導學生判斷直線 L 與平面 E 有「0 個」、「1 個」或「無限多個」交點。</v>
      </c>
      <c r="M21" s="2" t="s">
        <v>156</v>
      </c>
      <c r="N21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[指導]如果錯誤，引導學生判斷直線 L 與平面 E 有「0 個」、「1 個」或「無限多個」交點。</v>
      </c>
    </row>
    <row r="22" spans="1:14" ht="15.75" customHeight="1" x14ac:dyDescent="0.3">
      <c r="A22" s="1" t="s">
        <v>116</v>
      </c>
      <c r="B22" s="1" t="s">
        <v>117</v>
      </c>
      <c r="C22" s="1" t="s">
        <v>118</v>
      </c>
      <c r="D22" s="1" t="s">
        <v>108</v>
      </c>
      <c r="E22" s="1" t="s">
        <v>119</v>
      </c>
      <c r="F22" s="1" t="s">
        <v>15</v>
      </c>
      <c r="G22" s="1" t="s">
        <v>120</v>
      </c>
      <c r="H22" s="1">
        <v>5</v>
      </c>
      <c r="I22" s="1" t="b">
        <v>1</v>
      </c>
      <c r="J22" s="1">
        <v>6080</v>
      </c>
      <c r="L22" t="str">
        <f t="shared" si="4"/>
        <v>如果錯誤，引導學生判斷兩平面 E₁, E₂ 有「0 個」、「1 條線」或「無限多個」交點。</v>
      </c>
      <c r="M22" s="2" t="s">
        <v>156</v>
      </c>
      <c r="N22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[指導]如果錯誤，引導學生判斷兩平面 E₁, E₂ 有「0 個」、「1 條線」或「無限多個」交點。</v>
      </c>
    </row>
    <row r="23" spans="1:14" ht="15.75" customHeight="1" x14ac:dyDescent="0.3">
      <c r="A23" s="1" t="s">
        <v>121</v>
      </c>
      <c r="B23" s="1" t="s">
        <v>122</v>
      </c>
      <c r="C23" s="1" t="s">
        <v>123</v>
      </c>
      <c r="D23" s="1" t="s">
        <v>108</v>
      </c>
      <c r="E23" s="1" t="s">
        <v>124</v>
      </c>
      <c r="F23" s="1" t="s">
        <v>15</v>
      </c>
      <c r="G23" s="1" t="s">
        <v>125</v>
      </c>
      <c r="H23" s="1">
        <v>5</v>
      </c>
      <c r="I23" s="1" t="b">
        <v>1</v>
      </c>
      <c r="J23" s="1">
        <v>6090</v>
      </c>
      <c r="L23" t="str">
        <f t="shared" si="4"/>
        <v>如果錯誤，提醒學生「歪斜」的條件是「不平行」且「不相交」（在不同平面上）。</v>
      </c>
      <c r="M23" s="2" t="s">
        <v>156</v>
      </c>
      <c r="N23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[指導]如果錯誤，提醒學生「歪斜」的條件是「不平行」且「不相交」（在不同平面上）。</v>
      </c>
    </row>
    <row r="24" spans="1:14" ht="15.75" customHeight="1" x14ac:dyDescent="0.3">
      <c r="A24" s="1" t="s">
        <v>126</v>
      </c>
      <c r="B24" s="1" t="s">
        <v>127</v>
      </c>
      <c r="C24" s="1" t="s">
        <v>128</v>
      </c>
      <c r="D24" s="1" t="s">
        <v>108</v>
      </c>
      <c r="E24" s="1" t="s">
        <v>129</v>
      </c>
      <c r="F24" s="1" t="s">
        <v>15</v>
      </c>
      <c r="G24" s="1" t="s">
        <v>130</v>
      </c>
      <c r="H24" s="1">
        <v>5</v>
      </c>
      <c r="I24" s="1" t="b">
        <v>1</v>
      </c>
      <c r="J24" s="1">
        <v>6100</v>
      </c>
      <c r="L24" t="str">
        <f t="shared" si="4"/>
        <v>如果錯誤，提醒學生「n 角柱」有 (n+2) 個面、(3n) 條邊、(2n) 個頂點。</v>
      </c>
      <c r="M24" s="2" t="s">
        <v>156</v>
      </c>
      <c r="N24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[指導]如果錯誤，提醒學生「n 角柱」有 (n+2) 個面、(3n) 條邊、(2n) 個頂點。</v>
      </c>
    </row>
    <row r="25" spans="1:14" ht="15.75" customHeight="1" x14ac:dyDescent="0.3">
      <c r="A25" s="1" t="s">
        <v>131</v>
      </c>
      <c r="B25" s="1" t="s">
        <v>132</v>
      </c>
      <c r="C25" s="1" t="s">
        <v>133</v>
      </c>
      <c r="D25" s="1" t="s">
        <v>108</v>
      </c>
      <c r="E25" s="1" t="s">
        <v>134</v>
      </c>
      <c r="F25" s="1" t="s">
        <v>15</v>
      </c>
      <c r="G25" s="1" t="s">
        <v>135</v>
      </c>
      <c r="H25" s="1">
        <v>5</v>
      </c>
      <c r="I25" s="1" t="b">
        <v>1</v>
      </c>
      <c r="J25" s="1">
        <v>6110</v>
      </c>
      <c r="L25" t="str">
        <f t="shared" si="4"/>
        <v>如果錯誤，提醒學生「n 角錐」有 (n+1) 個面、(2n) 條邊、(n+1) 個頂點。</v>
      </c>
      <c r="M25" s="2" t="s">
        <v>156</v>
      </c>
      <c r="N25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[指導]如果錯誤，提醒學生「n 角錐」有 (n+1) 個面、(2n) 條邊、(n+1) 個頂點。</v>
      </c>
    </row>
    <row r="26" spans="1:14" ht="15.75" customHeight="1" x14ac:dyDescent="0.3">
      <c r="A26" s="1" t="s">
        <v>136</v>
      </c>
      <c r="B26" s="1" t="s">
        <v>137</v>
      </c>
      <c r="C26" s="1" t="s">
        <v>138</v>
      </c>
      <c r="D26" s="1" t="s">
        <v>108</v>
      </c>
      <c r="E26" s="1" t="s">
        <v>139</v>
      </c>
      <c r="F26" s="1" t="s">
        <v>15</v>
      </c>
      <c r="G26" s="1" t="s">
        <v>140</v>
      </c>
      <c r="H26" s="1">
        <v>5</v>
      </c>
      <c r="I26" s="1" t="b">
        <v>1</v>
      </c>
      <c r="J26" s="1">
        <v>6120</v>
      </c>
      <c r="L26" t="str">
        <f t="shared" si="4"/>
        <v>如果錯誤，提醒學生「表面積」= (上底 + 下底) + (側面面積)。圓柱側面積 = (底面周長) × 高。</v>
      </c>
      <c r="M26" s="2" t="s">
        <v>156</v>
      </c>
      <c r="N26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[指導]如果錯誤，提醒學生「表面積」= (上底 + 下底) + (側面面積)。圓柱側面積 = (底面周長) × 高。</v>
      </c>
    </row>
    <row r="27" spans="1:14" ht="15.75" customHeight="1" x14ac:dyDescent="0.3">
      <c r="A27" s="1" t="s">
        <v>141</v>
      </c>
      <c r="B27" s="1" t="s">
        <v>142</v>
      </c>
      <c r="C27" s="1" t="s">
        <v>143</v>
      </c>
      <c r="D27" s="1" t="s">
        <v>108</v>
      </c>
      <c r="E27" s="1" t="s">
        <v>144</v>
      </c>
      <c r="F27" s="1" t="s">
        <v>15</v>
      </c>
      <c r="G27" s="1" t="s">
        <v>145</v>
      </c>
      <c r="H27" s="1">
        <v>5</v>
      </c>
      <c r="I27" s="1" t="b">
        <v>1</v>
      </c>
      <c r="J27" s="1">
        <v>6130</v>
      </c>
      <c r="L27" t="str">
        <f t="shared" si="4"/>
        <v>如果錯誤，提醒學生「表面積」= (底面積) + (所有側面三角形/扇形面積)。</v>
      </c>
      <c r="M27" s="2" t="s">
        <v>156</v>
      </c>
      <c r="N27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[指導]如果錯誤，提醒學生「表面積」= (底面積) + (所有側面三角形/扇形面積)。</v>
      </c>
    </row>
    <row r="28" spans="1:14" ht="15.75" customHeight="1" x14ac:dyDescent="0.3">
      <c r="A28" s="1" t="s">
        <v>146</v>
      </c>
      <c r="B28" s="1" t="s">
        <v>147</v>
      </c>
      <c r="C28" s="1" t="s">
        <v>148</v>
      </c>
      <c r="D28" s="1" t="s">
        <v>108</v>
      </c>
      <c r="E28" s="1" t="s">
        <v>149</v>
      </c>
      <c r="F28" s="1" t="s">
        <v>15</v>
      </c>
      <c r="G28" s="1" t="s">
        <v>150</v>
      </c>
      <c r="H28" s="1">
        <v>5</v>
      </c>
      <c r="I28" s="1" t="b">
        <v>1</v>
      </c>
      <c r="J28" s="1">
        <v>6140</v>
      </c>
      <c r="L28" t="str">
        <f t="shared" si="4"/>
        <v>如果錯誤，提醒學生「柱體體積」V = (底面積) × (高)。</v>
      </c>
      <c r="M28" s="2" t="s">
        <v>156</v>
      </c>
      <c r="N28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[指導]如果錯誤，提醒學生「柱體體積」V = (底面積) × (高)。</v>
      </c>
    </row>
    <row r="29" spans="1:14" ht="15.75" customHeight="1" x14ac:dyDescent="0.3">
      <c r="A29" s="1" t="s">
        <v>151</v>
      </c>
      <c r="B29" s="1" t="s">
        <v>152</v>
      </c>
      <c r="C29" s="1" t="s">
        <v>153</v>
      </c>
      <c r="D29" s="1" t="s">
        <v>108</v>
      </c>
      <c r="E29" s="1" t="s">
        <v>154</v>
      </c>
      <c r="F29" s="1" t="s">
        <v>15</v>
      </c>
      <c r="G29" s="1" t="s">
        <v>155</v>
      </c>
      <c r="H29" s="1">
        <v>5</v>
      </c>
      <c r="I29" s="1" t="b">
        <v>1</v>
      </c>
      <c r="J29" s="1">
        <v>6150</v>
      </c>
      <c r="L29" t="str">
        <f t="shared" si="4"/>
        <v>如果錯誤，提醒學生「錐體體積」V = (1/3) × (底面積) × (高)。</v>
      </c>
      <c r="M29" s="2" t="s">
        <v>156</v>
      </c>
      <c r="N29" t="str">
        <f t="shared" si="2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[指導]如果錯誤，提醒學生「錐體體積」V = (1/3) × (底面積) × (高)。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這是這個系統的使用者主要會使用的部分 依功文數學的精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2025-11-08T04:12:13Z</dcterms:modified>
</cp:coreProperties>
</file>